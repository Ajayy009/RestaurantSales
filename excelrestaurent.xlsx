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ajayExcel\EuropeanRestaurantDealers\ExcelforDA\"/>
    </mc:Choice>
  </mc:AlternateContent>
  <xr:revisionPtr revIDLastSave="0" documentId="13_ncr:1_{69BDA044-7048-46CC-B63D-8B8997A4B71A}" xr6:coauthVersionLast="47" xr6:coauthVersionMax="47" xr10:uidLastSave="{00000000-0000-0000-0000-000000000000}"/>
  <bookViews>
    <workbookView xWindow="-108" yWindow="-108" windowWidth="23256" windowHeight="12456" tabRatio="177" xr2:uid="{2649B7B7-2BEC-4695-85BD-2C8E686F05BA}"/>
  </bookViews>
  <sheets>
    <sheet name="pivot dashboard" sheetId="8" r:id="rId1"/>
    <sheet name="Sheet2" sheetId="3" r:id="rId2"/>
    <sheet name="Sheet3" sheetId="4" r:id="rId3"/>
    <sheet name="Sheet10" sheetId="19" r:id="rId4"/>
    <sheet name="9. Sales-Data-Analysis" sheetId="1" r:id="rId5"/>
    <sheet name="Sheet4" sheetId="5" r:id="rId6"/>
  </sheets>
  <definedNames>
    <definedName name="_xlnm._FilterDatabase" localSheetId="4" hidden="1">'9. Sales-Data-Analysis'!$K$1:$K$276</definedName>
    <definedName name="Slicer_City">#N/A</definedName>
    <definedName name="Slicer_Date">#N/A</definedName>
    <definedName name="Slicer_Payment_Method">#N/A</definedName>
    <definedName name="Slicer_Product">#N/A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38" i="1" l="1"/>
  <c r="G239" i="1"/>
  <c r="G240" i="1"/>
  <c r="G241" i="1"/>
  <c r="N268" i="1"/>
  <c r="N270" i="1"/>
  <c r="N269" i="1"/>
  <c r="N261" i="1"/>
  <c r="N266" i="1"/>
  <c r="N265" i="1"/>
  <c r="G249" i="1"/>
  <c r="G250" i="1"/>
  <c r="G251" i="1"/>
  <c r="G252" i="1"/>
  <c r="G253" i="1"/>
  <c r="G254" i="1"/>
  <c r="G255" i="1"/>
  <c r="G8" i="1"/>
  <c r="G55" i="1"/>
  <c r="G79" i="1"/>
  <c r="G164" i="1"/>
  <c r="G207" i="1"/>
  <c r="G17" i="1"/>
  <c r="G129" i="1"/>
  <c r="G165" i="1"/>
  <c r="G208" i="1"/>
  <c r="G23" i="1"/>
  <c r="G130" i="1"/>
  <c r="G166" i="1"/>
  <c r="G173" i="1"/>
  <c r="G209" i="1"/>
  <c r="G24" i="1"/>
  <c r="G131" i="1"/>
  <c r="G167" i="1"/>
  <c r="G174" i="1"/>
  <c r="G25" i="1"/>
  <c r="G132" i="1"/>
  <c r="G95" i="1"/>
  <c r="G175" i="1"/>
  <c r="G210" i="1"/>
  <c r="G33" i="1"/>
  <c r="G133" i="1"/>
  <c r="G96" i="1"/>
  <c r="G176" i="1"/>
  <c r="G211" i="1"/>
  <c r="G39" i="1"/>
  <c r="G134" i="1"/>
  <c r="G2" i="1"/>
  <c r="G54" i="1"/>
  <c r="G97" i="1"/>
  <c r="G177" i="1"/>
  <c r="G212" i="1"/>
  <c r="G40" i="1"/>
  <c r="G135" i="1"/>
  <c r="G168" i="1"/>
  <c r="G178" i="1"/>
  <c r="G213" i="1"/>
  <c r="G41" i="1"/>
  <c r="G136" i="1"/>
  <c r="G169" i="1"/>
  <c r="G179" i="1"/>
  <c r="G214" i="1"/>
  <c r="G34" i="1"/>
  <c r="G137" i="1"/>
  <c r="G98" i="1"/>
  <c r="G180" i="1"/>
  <c r="G215" i="1"/>
  <c r="G28" i="1"/>
  <c r="G138" i="1"/>
  <c r="G64" i="1"/>
  <c r="G181" i="1"/>
  <c r="G216" i="1"/>
  <c r="G42" i="1"/>
  <c r="G139" i="1"/>
  <c r="G65" i="1"/>
  <c r="G182" i="1"/>
  <c r="G217" i="1"/>
  <c r="G46" i="1"/>
  <c r="G140" i="1"/>
  <c r="G183" i="1"/>
  <c r="G218" i="1"/>
  <c r="G35" i="1"/>
  <c r="G43" i="1"/>
  <c r="G141" i="1"/>
  <c r="G66" i="1"/>
  <c r="G80" i="1"/>
  <c r="G219" i="1"/>
  <c r="G51" i="1"/>
  <c r="G142" i="1"/>
  <c r="G67" i="1"/>
  <c r="G81" i="1"/>
  <c r="G220" i="1"/>
  <c r="G47" i="1"/>
  <c r="G143" i="1"/>
  <c r="G68" i="1"/>
  <c r="G82" i="1"/>
  <c r="G221" i="1"/>
  <c r="G48" i="1"/>
  <c r="G144" i="1"/>
  <c r="G52" i="1"/>
  <c r="G145" i="1"/>
  <c r="G99" i="1"/>
  <c r="G83" i="1"/>
  <c r="G222" i="1"/>
  <c r="G146" i="1"/>
  <c r="G100" i="1"/>
  <c r="G84" i="1"/>
  <c r="G223" i="1"/>
  <c r="G53" i="1"/>
  <c r="G147" i="1"/>
  <c r="G101" i="1"/>
  <c r="G85" i="1"/>
  <c r="G224" i="1"/>
  <c r="G49" i="1"/>
  <c r="G148" i="1"/>
  <c r="G102" i="1"/>
  <c r="G184" i="1"/>
  <c r="G225" i="1"/>
  <c r="G50" i="1"/>
  <c r="G149" i="1"/>
  <c r="G103" i="1"/>
  <c r="G185" i="1"/>
  <c r="G226" i="1"/>
  <c r="G44" i="1"/>
  <c r="G150" i="1"/>
  <c r="G104" i="1"/>
  <c r="G186" i="1"/>
  <c r="G227" i="1"/>
  <c r="G45" i="1"/>
  <c r="G151" i="1"/>
  <c r="G170" i="1"/>
  <c r="G187" i="1"/>
  <c r="G228" i="1"/>
  <c r="G36" i="1"/>
  <c r="G152" i="1"/>
  <c r="G105" i="1"/>
  <c r="G188" i="1"/>
  <c r="G229" i="1"/>
  <c r="G37" i="1"/>
  <c r="G153" i="1"/>
  <c r="G106" i="1"/>
  <c r="G189" i="1"/>
  <c r="G230" i="1"/>
  <c r="G29" i="1"/>
  <c r="G154" i="1"/>
  <c r="G107" i="1"/>
  <c r="G86" i="1"/>
  <c r="G231" i="1"/>
  <c r="G26" i="1"/>
  <c r="G155" i="1"/>
  <c r="G171" i="1"/>
  <c r="G190" i="1"/>
  <c r="G232" i="1"/>
  <c r="G30" i="1"/>
  <c r="G156" i="1"/>
  <c r="G172" i="1"/>
  <c r="G191" i="1"/>
  <c r="G233" i="1"/>
  <c r="G38" i="1"/>
  <c r="G157" i="1"/>
  <c r="G108" i="1"/>
  <c r="G192" i="1"/>
  <c r="G234" i="1"/>
  <c r="G31" i="1"/>
  <c r="G158" i="1"/>
  <c r="G109" i="1"/>
  <c r="G193" i="1"/>
  <c r="G235" i="1"/>
  <c r="G18" i="1"/>
  <c r="G159" i="1"/>
  <c r="G110" i="1"/>
  <c r="G194" i="1"/>
  <c r="G236" i="1"/>
  <c r="G19" i="1"/>
  <c r="G160" i="1"/>
  <c r="G111" i="1"/>
  <c r="G195" i="1"/>
  <c r="G237" i="1"/>
  <c r="G15" i="1"/>
  <c r="G161" i="1"/>
  <c r="G112" i="1"/>
  <c r="G87" i="1"/>
  <c r="G20" i="1"/>
  <c r="G162" i="1"/>
  <c r="G113" i="1"/>
  <c r="G196" i="1"/>
  <c r="G21" i="1"/>
  <c r="G163" i="1"/>
  <c r="G114" i="1"/>
  <c r="G197" i="1"/>
  <c r="G27" i="1"/>
  <c r="G71" i="1"/>
  <c r="G115" i="1"/>
  <c r="G198" i="1"/>
  <c r="G32" i="1"/>
  <c r="G72" i="1"/>
  <c r="G116" i="1"/>
  <c r="G199" i="1"/>
  <c r="G242" i="1"/>
  <c r="G22" i="1"/>
  <c r="G73" i="1"/>
  <c r="G117" i="1"/>
  <c r="G88" i="1"/>
  <c r="G243" i="1"/>
  <c r="G16" i="1"/>
  <c r="G74" i="1"/>
  <c r="G69" i="1"/>
  <c r="G89" i="1"/>
  <c r="G244" i="1"/>
  <c r="G14" i="1"/>
  <c r="G75" i="1"/>
  <c r="G70" i="1"/>
  <c r="G90" i="1"/>
  <c r="G245" i="1"/>
  <c r="G13" i="1"/>
  <c r="G76" i="1"/>
  <c r="G118" i="1"/>
  <c r="G91" i="1"/>
  <c r="G246" i="1"/>
  <c r="G11" i="1"/>
  <c r="G77" i="1"/>
  <c r="G119" i="1"/>
  <c r="G92" i="1"/>
  <c r="G247" i="1"/>
  <c r="G7" i="1"/>
  <c r="G78" i="1"/>
  <c r="G120" i="1"/>
  <c r="G93" i="1"/>
  <c r="G248" i="1"/>
  <c r="G61" i="1"/>
  <c r="G121" i="1"/>
  <c r="G94" i="1"/>
  <c r="G12" i="1"/>
  <c r="G62" i="1"/>
  <c r="G122" i="1"/>
  <c r="G200" i="1"/>
  <c r="G9" i="1"/>
  <c r="G63" i="1"/>
  <c r="G123" i="1"/>
  <c r="G201" i="1"/>
  <c r="G10" i="1"/>
  <c r="G60" i="1"/>
  <c r="G124" i="1"/>
  <c r="G202" i="1"/>
  <c r="G5" i="1"/>
  <c r="G57" i="1"/>
  <c r="G125" i="1"/>
  <c r="G203" i="1"/>
  <c r="G6" i="1"/>
  <c r="G58" i="1"/>
  <c r="G126" i="1"/>
  <c r="G204" i="1"/>
  <c r="G4" i="1"/>
  <c r="G56" i="1"/>
  <c r="G127" i="1"/>
  <c r="G205" i="1"/>
  <c r="G3" i="1"/>
  <c r="G59" i="1"/>
  <c r="G128" i="1"/>
  <c r="G206" i="1"/>
  <c r="N256" i="1" l="1"/>
  <c r="M241" i="1" s="1"/>
  <c r="N274" i="1"/>
  <c r="N275" i="1"/>
  <c r="N276" i="1"/>
  <c r="N260" i="1"/>
  <c r="N273" i="1"/>
  <c r="N259" i="1"/>
  <c r="P241" i="1" s="1"/>
  <c r="N271" i="1"/>
  <c r="N258" i="1"/>
  <c r="O241" i="1" s="1"/>
  <c r="N257" i="1"/>
  <c r="N241" i="1" s="1"/>
</calcChain>
</file>

<file path=xl/sharedStrings.xml><?xml version="1.0" encoding="utf-8"?>
<sst xmlns="http://schemas.openxmlformats.org/spreadsheetml/2006/main" count="1355" uniqueCount="63">
  <si>
    <t>Order ID</t>
  </si>
  <si>
    <t>Date</t>
  </si>
  <si>
    <t>Price</t>
  </si>
  <si>
    <t>Quantity</t>
  </si>
  <si>
    <t>Purchase Type</t>
  </si>
  <si>
    <t>Payment Method</t>
  </si>
  <si>
    <t>Manager</t>
  </si>
  <si>
    <t>City</t>
  </si>
  <si>
    <t>Fries</t>
  </si>
  <si>
    <t xml:space="preserve">Online </t>
  </si>
  <si>
    <t xml:space="preserve"> Gift Card</t>
  </si>
  <si>
    <t>London</t>
  </si>
  <si>
    <t>Beverages</t>
  </si>
  <si>
    <t>Madrid</t>
  </si>
  <si>
    <t>Sides &amp; Other</t>
  </si>
  <si>
    <t xml:space="preserve">In-store </t>
  </si>
  <si>
    <t>Joao    Silva</t>
  </si>
  <si>
    <t>Lisbon</t>
  </si>
  <si>
    <t>Burgers</t>
  </si>
  <si>
    <t xml:space="preserve"> Credit Card</t>
  </si>
  <si>
    <t>Walter Muller</t>
  </si>
  <si>
    <t>Berlin</t>
  </si>
  <si>
    <t>Chicken Sandwiches</t>
  </si>
  <si>
    <t>Paris</t>
  </si>
  <si>
    <t>Remy Monet</t>
  </si>
  <si>
    <t>Pablo Perez</t>
  </si>
  <si>
    <t>Pablo  Perez</t>
  </si>
  <si>
    <t>Joao Silva</t>
  </si>
  <si>
    <t xml:space="preserve">Drive-thru </t>
  </si>
  <si>
    <t xml:space="preserve"> Cash</t>
  </si>
  <si>
    <t>Tom Jackson</t>
  </si>
  <si>
    <t>Original Order</t>
  </si>
  <si>
    <t>Revenue</t>
  </si>
  <si>
    <t>Total Revenue</t>
  </si>
  <si>
    <t>Max Revenue</t>
  </si>
  <si>
    <t>Min Revenue</t>
  </si>
  <si>
    <t>Average Revenue per Order</t>
  </si>
  <si>
    <t>Average Quantity</t>
  </si>
  <si>
    <t>Total Order</t>
  </si>
  <si>
    <t>Cash Orders</t>
  </si>
  <si>
    <t>% Cash Orders</t>
  </si>
  <si>
    <t>Total Revenue by City</t>
  </si>
  <si>
    <t>Average Price Of Burgers</t>
  </si>
  <si>
    <t>Gift Card Orders</t>
  </si>
  <si>
    <t xml:space="preserve"> Credit Card Orders</t>
  </si>
  <si>
    <t xml:space="preserve">  Total Revenue</t>
  </si>
  <si>
    <t xml:space="preserve">  Min Revenue</t>
  </si>
  <si>
    <t xml:space="preserve">  Average Revenue per Order</t>
  </si>
  <si>
    <t xml:space="preserve">  Max Revenue</t>
  </si>
  <si>
    <t xml:space="preserve">                           Revenue By City</t>
  </si>
  <si>
    <t>Grand Total</t>
  </si>
  <si>
    <t>Count of Order ID</t>
  </si>
  <si>
    <t>(All)</t>
  </si>
  <si>
    <t xml:space="preserve"> Pablo Perez</t>
  </si>
  <si>
    <t xml:space="preserve"> Remy Monet</t>
  </si>
  <si>
    <t>Count of Original Order</t>
  </si>
  <si>
    <t>Revenue By product</t>
  </si>
  <si>
    <t>Payment Method Distribution</t>
  </si>
  <si>
    <t>Date of purchase</t>
  </si>
  <si>
    <t>Product</t>
  </si>
  <si>
    <t>Revenue By City</t>
  </si>
  <si>
    <t>-</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</si>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</sst>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_-\ [$€-1]"/>
    <numFmt numFmtId="165" formatCode="#,##0.00\ [$€-1];[Red]#,##0.00\ [$€-1]"/>
    <numFmt numFmtId="166" formatCode="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20"/>
      <color theme="1"/>
      <name val="Calibri"/>
      <family val="2"/>
      <scheme val="minor"/>
    </font>
    <font>
      <b/>
      <sz val="18"/>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249977111117893"/>
        <bgColor indexed="64"/>
      </patternFill>
    </fill>
    <fill>
      <patternFill patternType="solid">
        <fgColor theme="7" tint="0.39997558519241921"/>
        <bgColor indexed="64"/>
      </patternFill>
    </fill>
    <fill>
      <patternFill patternType="solid">
        <fgColor theme="9" tint="-0.249977111117893"/>
        <bgColor indexed="64"/>
      </patternFill>
    </fill>
    <fill>
      <patternFill patternType="solid">
        <fgColor rgb="FFFF00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14" fontId="0" fillId="0" borderId="0" xfId="0" applyNumberFormat="1"/>
    <xf numFmtId="0" fontId="16" fillId="0" borderId="0" xfId="0" applyFont="1"/>
    <xf numFmtId="164" fontId="16" fillId="0" borderId="0" xfId="0" applyNumberFormat="1" applyFont="1"/>
    <xf numFmtId="164" fontId="0" fillId="0" borderId="0" xfId="0" applyNumberFormat="1"/>
    <xf numFmtId="165" fontId="0" fillId="0" borderId="0" xfId="0" applyNumberFormat="1"/>
    <xf numFmtId="166" fontId="0" fillId="0" borderId="0" xfId="0" applyNumberFormat="1"/>
    <xf numFmtId="165" fontId="0" fillId="0" borderId="0" xfId="0" quotePrefix="1" applyNumberFormat="1"/>
    <xf numFmtId="0" fontId="0" fillId="0" borderId="0" xfId="0" applyAlignment="1">
      <alignment horizontal="center"/>
    </xf>
    <xf numFmtId="0" fontId="19" fillId="0" borderId="0" xfId="0" applyFont="1"/>
    <xf numFmtId="0" fontId="19" fillId="33" borderId="0" xfId="0" applyFont="1" applyFill="1"/>
    <xf numFmtId="0" fontId="19" fillId="34" borderId="0" xfId="0" applyFont="1" applyFill="1"/>
    <xf numFmtId="0" fontId="19" fillId="35" borderId="0" xfId="0" applyFont="1" applyFill="1"/>
    <xf numFmtId="165" fontId="19" fillId="36" borderId="0" xfId="0" applyNumberFormat="1" applyFont="1" applyFill="1" applyAlignment="1">
      <alignment vertical="center"/>
    </xf>
    <xf numFmtId="0" fontId="19" fillId="36" borderId="0" xfId="0" applyFont="1" applyFill="1"/>
    <xf numFmtId="165" fontId="20" fillId="34" borderId="0" xfId="0" applyNumberFormat="1" applyFont="1" applyFill="1" applyAlignment="1">
      <alignment horizontal="center" vertical="center"/>
    </xf>
    <xf numFmtId="165" fontId="20" fillId="33" borderId="10" xfId="0" applyNumberFormat="1" applyFont="1" applyFill="1" applyBorder="1" applyAlignment="1">
      <alignment horizontal="center" vertical="center"/>
    </xf>
    <xf numFmtId="165" fontId="20" fillId="35" borderId="0" xfId="0" applyNumberFormat="1" applyFont="1" applyFill="1" applyAlignment="1">
      <alignment horizontal="center" vertical="center"/>
    </xf>
    <xf numFmtId="0" fontId="0" fillId="0" borderId="0" xfId="0" pivotButton="1"/>
    <xf numFmtId="0" fontId="0" fillId="0" borderId="0" xfId="0" applyAlignment="1">
      <alignment horizontal="left"/>
    </xf>
    <xf numFmtId="14"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fill>
        <patternFill>
          <bgColor rgb="FFFFFF00"/>
        </patternFill>
      </fill>
    </dxf>
    <dxf>
      <fill>
        <patternFill>
          <bgColor rgb="FFFFFF00"/>
        </patternFill>
      </fill>
    </dxf>
    <dxf>
      <fill>
        <patternFill>
          <bgColor rgb="FFFFFF00"/>
        </patternFill>
      </fill>
    </dxf>
    <dxf>
      <font>
        <b/>
        <i val="0"/>
      </font>
      <fill>
        <patternFill>
          <bgColor theme="9" tint="-0.24994659260841701"/>
        </patternFill>
      </fill>
    </dxf>
    <dxf>
      <font>
        <b/>
        <i val="0"/>
      </font>
      <fill>
        <patternFill>
          <bgColor theme="9" tint="-0.24994659260841701"/>
        </patternFill>
      </fill>
    </dxf>
    <dxf>
      <fill>
        <patternFill>
          <bgColor theme="9" tint="0.39994506668294322"/>
        </patternFill>
      </fill>
    </dxf>
    <dxf>
      <fill>
        <patternFill>
          <bgColor rgb="FFFFFF00"/>
        </patternFill>
      </fill>
    </dxf>
    <dxf>
      <fill>
        <patternFill>
          <bgColor rgb="FFFFFF00"/>
        </patternFill>
      </fill>
    </dxf>
    <dxf>
      <fill>
        <patternFill>
          <bgColor rgb="FFFFFF00"/>
        </patternFill>
      </fill>
    </dxf>
    <dxf>
      <font>
        <b/>
        <i val="0"/>
        <sz val="18"/>
        <name val="Algerian"/>
        <family val="5"/>
        <scheme val="none"/>
      </font>
    </dxf>
    <dxf>
      <font>
        <b/>
        <i val="0"/>
        <sz val="18"/>
      </font>
    </dxf>
    <dxf>
      <font>
        <b/>
        <i val="0"/>
        <sz val="18"/>
        <name val="Algerian"/>
        <family val="5"/>
        <scheme val="none"/>
      </font>
    </dxf>
    <dxf>
      <font>
        <b/>
        <i val="0"/>
        <sz val="18"/>
      </font>
    </dxf>
    <dxf>
      <font>
        <b/>
        <i val="0"/>
        <sz val="18"/>
      </font>
    </dxf>
    <dxf>
      <font>
        <b/>
        <i val="0"/>
        <sz val="14"/>
      </font>
    </dxf>
    <dxf>
      <font>
        <b/>
        <i val="0"/>
      </font>
    </dxf>
  </dxfs>
  <tableStyles count="7" defaultTableStyle="TableStyleMedium2" defaultPivotStyle="PivotStyleLight16">
    <tableStyle name="Slicer Style 1" pivot="0" table="0" count="0" xr9:uid="{1E1478A0-78DF-41A6-B42E-118598E03489}"/>
    <tableStyle name="Slicer Style 2" pivot="0" table="0" count="1" xr9:uid="{93C518EA-74E3-4DFD-8A51-FB532E0EF14F}">
      <tableStyleElement type="headerRow" dxfId="15"/>
    </tableStyle>
    <tableStyle name="Slicer Style 3" pivot="0" table="0" count="1" xr9:uid="{CD780EBC-E387-463E-81DA-9DDA20224B0F}">
      <tableStyleElement type="wholeTable" dxfId="14"/>
    </tableStyle>
    <tableStyle name="Slicer Style 4" pivot="0" table="0" count="2" xr9:uid="{8360A4D2-922E-496A-9E2C-3552F8C114AB}">
      <tableStyleElement type="wholeTable" dxfId="13"/>
    </tableStyle>
    <tableStyle name="Slicer Style 5" pivot="0" table="0" count="2" xr9:uid="{3B179A84-D61B-461E-996A-F5B7639C2069}">
      <tableStyleElement type="wholeTable" dxfId="12"/>
    </tableStyle>
    <tableStyle name="Slicer Style 6" pivot="0" table="0" count="2" xr9:uid="{C54B3B9C-8371-4E44-9ADD-417852FD4AF8}">
      <tableStyleElement type="wholeTable" dxfId="11"/>
      <tableStyleElement type="headerRow" dxfId="10"/>
    </tableStyle>
    <tableStyle name="Slicer Style 7" pivot="0" table="0" count="1" xr9:uid="{715FFC1B-CF89-4483-8013-F3C223B82922}">
      <tableStyleElement type="wholeTable" dxfId="9"/>
    </tableStyle>
  </tableStyles>
  <extLst>
    <ext xmlns:x14="http://schemas.microsoft.com/office/spreadsheetml/2009/9/main" uri="{46F421CA-312F-682f-3DD2-61675219B42D}">
      <x14:dxfs count="2">
        <dxf>
          <font>
            <b/>
            <i val="0"/>
            <sz val="18"/>
          </font>
        </dxf>
        <dxf>
          <font>
            <b/>
            <i val="0"/>
            <sz val="20"/>
          </font>
        </dxf>
      </x14:dxfs>
    </ext>
    <ext xmlns:x14="http://schemas.microsoft.com/office/spreadsheetml/2009/9/main" uri="{EB79DEF2-80B8-43e5-95BD-54CBDDF9020C}">
      <x14:slicerStyles defaultSlicerStyle="Slicer Style 7">
        <x14:slicerStyle name="Slicer Style 1"/>
        <x14:slicerStyle name="Slicer Style 2"/>
        <x14:slicerStyle name="Slicer Style 3"/>
        <x14:slicerStyle name="Slicer Style 4">
          <x14:slicerStyleElements>
            <x14:slicerStyleElement type="selectedItemWithData" dxfId="1"/>
          </x14:slicerStyleElements>
        </x14:slicerStyle>
        <x14:slicerStyle name="Slicer Style 5">
          <x14:slicerStyleElements>
            <x14:slicerStyleElement type="selectedItemWithData" dxfId="0"/>
          </x14:slicerStyleElements>
        </x14:slicerStyle>
        <x14:slicerStyle name="Slicer Style 6"/>
        <x14:slicerStyle name="Slicer Style 7"/>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[excelrestaurent.xlsx]Sheet3!PivotTable2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rgbClr val="FF0000"/>
            </a:solidFill>
            <a:ln>
              <a:noFill/>
            </a:ln>
            <a:effectLst/>
          </c:spPr>
          <c:invertIfNegative val="0"/>
          <c:cat>
            <c:strRef>
              <c:f>Sheet3!$A$4:$A$5</c:f>
              <c:strCache>
                <c:ptCount val="1"/>
                <c:pt idx="0">
                  <c:v>Burgers</c:v>
                </c:pt>
              </c:strCache>
            </c:strRef>
          </c:cat>
          <c:val>
            <c:numRef>
              <c:f>Sheet3!$B$4:$B$5</c:f>
              <c:numCache>
                <c:formatCode>#,##0.00_-\ [$€-1]</c:formatCode>
                <c:ptCount val="1"/>
                <c:pt idx="0">
                  <c:v>376999.80689999979</c:v>
                </c:pt>
              </c:numCache>
            </c:numRef>
          </c:val>
          <c:extLst>
            <c:ext xmlns:c16="http://schemas.microsoft.com/office/drawing/2014/chart" uri="{C3380CC4-5D6E-409C-BE32-E72D297353CC}">
              <c16:uniqueId val="{00000000-A7CB-4E3C-A9CC-BD199C136676}"/>
            </c:ext>
          </c:extLst>
        </c:ser>
        <c:dLbls>
          <c:showLegendKey val="0"/>
          <c:showVal val="0"/>
          <c:showCatName val="0"/>
          <c:showSerName val="0"/>
          <c:showPercent val="0"/>
          <c:showBubbleSize val="0"/>
        </c:dLbls>
        <c:gapWidth val="219"/>
        <c:overlap val="-27"/>
        <c:axId val="1361687520"/>
        <c:axId val="1361690400"/>
      </c:barChart>
      <c:catAx>
        <c:axId val="136168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690400"/>
        <c:crosses val="autoZero"/>
        <c:auto val="1"/>
        <c:lblAlgn val="ctr"/>
        <c:lblOffset val="100"/>
        <c:noMultiLvlLbl val="0"/>
      </c:catAx>
      <c:valAx>
        <c:axId val="1361690400"/>
        <c:scaling>
          <c:orientation val="minMax"/>
        </c:scaling>
        <c:delete val="0"/>
        <c:axPos val="l"/>
        <c:majorGridlines>
          <c:spPr>
            <a:ln w="9525" cap="flat" cmpd="sng" algn="ctr">
              <a:solidFill>
                <a:schemeClr val="tx1">
                  <a:lumMod val="15000"/>
                  <a:lumOff val="85000"/>
                </a:schemeClr>
              </a:solidFill>
              <a:round/>
            </a:ln>
            <a:effectLst/>
          </c:spPr>
        </c:majorGridlines>
        <c:numFmt formatCode="#,##0.00_-\ [$€-1]"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68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[excelrestaurent.xlsx]Sheet4!PivotTable3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quantity purchased by date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Average Quantity</c:v>
                </c:pt>
              </c:strCache>
            </c:strRef>
          </c:tx>
          <c:spPr>
            <a:solidFill>
              <a:schemeClr val="accent6"/>
            </a:solidFill>
            <a:ln>
              <a:noFill/>
            </a:ln>
            <a:effectLst/>
          </c:spPr>
          <c:invertIfNegative val="0"/>
          <c:cat>
            <c:strRef>
              <c:f>Sheet4!$A$4:$A$56</c:f>
              <c:strCache>
                <c:ptCount val="52"/>
                <c:pt idx="0">
                  <c:v>11/8/2022</c:v>
                </c:pt>
                <c:pt idx="1">
                  <c:v>11/9/2022</c:v>
                </c:pt>
                <c:pt idx="2">
                  <c:v>11/10/2022</c:v>
                </c:pt>
                <c:pt idx="3">
                  <c:v>11/11/2022</c:v>
                </c:pt>
                <c:pt idx="4">
                  <c:v>11/12/2022</c:v>
                </c:pt>
                <c:pt idx="5">
                  <c:v>11/13/2022</c:v>
                </c:pt>
                <c:pt idx="6">
                  <c:v>11/14/2022</c:v>
                </c:pt>
                <c:pt idx="7">
                  <c:v>11/15/2022</c:v>
                </c:pt>
                <c:pt idx="8">
                  <c:v>11/16/2022</c:v>
                </c:pt>
                <c:pt idx="9">
                  <c:v>11/17/2022</c:v>
                </c:pt>
                <c:pt idx="10">
                  <c:v>11/18/2022</c:v>
                </c:pt>
                <c:pt idx="11">
                  <c:v>11/19/2022</c:v>
                </c:pt>
                <c:pt idx="12">
                  <c:v>11/20/2022</c:v>
                </c:pt>
                <c:pt idx="13">
                  <c:v>11/21/2022</c:v>
                </c:pt>
                <c:pt idx="14">
                  <c:v>11/22/2022</c:v>
                </c:pt>
                <c:pt idx="15">
                  <c:v>11/23/2022</c:v>
                </c:pt>
                <c:pt idx="16">
                  <c:v>11/24/2022</c:v>
                </c:pt>
                <c:pt idx="17">
                  <c:v>11/25/2022</c:v>
                </c:pt>
                <c:pt idx="18">
                  <c:v>11/26/2022</c:v>
                </c:pt>
                <c:pt idx="19">
                  <c:v>11/27/2022</c:v>
                </c:pt>
                <c:pt idx="20">
                  <c:v>11/28/2022</c:v>
                </c:pt>
                <c:pt idx="21">
                  <c:v>11/29/2022</c:v>
                </c:pt>
                <c:pt idx="22">
                  <c:v>11/30/2022</c:v>
                </c:pt>
                <c:pt idx="23">
                  <c:v>12/1/2022</c:v>
                </c:pt>
                <c:pt idx="24">
                  <c:v>12/2/2022</c:v>
                </c:pt>
                <c:pt idx="25">
                  <c:v>12/3/2022</c:v>
                </c:pt>
                <c:pt idx="26">
                  <c:v>12/4/2022</c:v>
                </c:pt>
                <c:pt idx="27">
                  <c:v>12/5/2022</c:v>
                </c:pt>
                <c:pt idx="28">
                  <c:v>12/6/2022</c:v>
                </c:pt>
                <c:pt idx="29">
                  <c:v>12/7/2022</c:v>
                </c:pt>
                <c:pt idx="30">
                  <c:v>12/8/2022</c:v>
                </c:pt>
                <c:pt idx="31">
                  <c:v>12/9/2022</c:v>
                </c:pt>
                <c:pt idx="32">
                  <c:v>12/10/2022</c:v>
                </c:pt>
                <c:pt idx="33">
                  <c:v>12/11/2022</c:v>
                </c:pt>
                <c:pt idx="34">
                  <c:v>12/12/2022</c:v>
                </c:pt>
                <c:pt idx="35">
                  <c:v>12/13/2022</c:v>
                </c:pt>
                <c:pt idx="36">
                  <c:v>12/14/2022</c:v>
                </c:pt>
                <c:pt idx="37">
                  <c:v>12/15/2022</c:v>
                </c:pt>
                <c:pt idx="38">
                  <c:v>12/16/2022</c:v>
                </c:pt>
                <c:pt idx="39">
                  <c:v>12/17/2022</c:v>
                </c:pt>
                <c:pt idx="40">
                  <c:v>12/18/2022</c:v>
                </c:pt>
                <c:pt idx="41">
                  <c:v>12/19/2022</c:v>
                </c:pt>
                <c:pt idx="42">
                  <c:v>12/20/2022</c:v>
                </c:pt>
                <c:pt idx="43">
                  <c:v>12/21/2022</c:v>
                </c:pt>
                <c:pt idx="44">
                  <c:v>12/22/2022</c:v>
                </c:pt>
                <c:pt idx="45">
                  <c:v>12/23/2022</c:v>
                </c:pt>
                <c:pt idx="46">
                  <c:v>12/24/2022</c:v>
                </c:pt>
                <c:pt idx="47">
                  <c:v>12/25/2022</c:v>
                </c:pt>
                <c:pt idx="48">
                  <c:v>12/26/2022</c:v>
                </c:pt>
                <c:pt idx="49">
                  <c:v>12/27/2022</c:v>
                </c:pt>
                <c:pt idx="50">
                  <c:v>12/28/2022</c:v>
                </c:pt>
                <c:pt idx="51">
                  <c:v>12/29/2022</c:v>
                </c:pt>
              </c:strCache>
            </c:strRef>
          </c:cat>
          <c:val>
            <c:numRef>
              <c:f>Sheet4!$B$4:$B$56</c:f>
              <c:numCache>
                <c:formatCode>General</c:formatCode>
                <c:ptCount val="52"/>
                <c:pt idx="0">
                  <c:v>569.66999999999996</c:v>
                </c:pt>
                <c:pt idx="1">
                  <c:v>554.27</c:v>
                </c:pt>
                <c:pt idx="2">
                  <c:v>554.27</c:v>
                </c:pt>
                <c:pt idx="3">
                  <c:v>554.27</c:v>
                </c:pt>
                <c:pt idx="4">
                  <c:v>523.48</c:v>
                </c:pt>
                <c:pt idx="5">
                  <c:v>508.08</c:v>
                </c:pt>
                <c:pt idx="6">
                  <c:v>523.48</c:v>
                </c:pt>
                <c:pt idx="7">
                  <c:v>508.08</c:v>
                </c:pt>
                <c:pt idx="8">
                  <c:v>508.08</c:v>
                </c:pt>
                <c:pt idx="9">
                  <c:v>523.48</c:v>
                </c:pt>
                <c:pt idx="10">
                  <c:v>538.88</c:v>
                </c:pt>
                <c:pt idx="11">
                  <c:v>508.08</c:v>
                </c:pt>
                <c:pt idx="12">
                  <c:v>477.29</c:v>
                </c:pt>
                <c:pt idx="13">
                  <c:v>492.69</c:v>
                </c:pt>
                <c:pt idx="14">
                  <c:v>461.89</c:v>
                </c:pt>
                <c:pt idx="15">
                  <c:v>477.29</c:v>
                </c:pt>
                <c:pt idx="16">
                  <c:v>477.29</c:v>
                </c:pt>
                <c:pt idx="17">
                  <c:v>461.89</c:v>
                </c:pt>
                <c:pt idx="18">
                  <c:v>446.5</c:v>
                </c:pt>
                <c:pt idx="19">
                  <c:v>461.89</c:v>
                </c:pt>
                <c:pt idx="20">
                  <c:v>477.29</c:v>
                </c:pt>
                <c:pt idx="21">
                  <c:v>477.29</c:v>
                </c:pt>
                <c:pt idx="22">
                  <c:v>492.69</c:v>
                </c:pt>
                <c:pt idx="23">
                  <c:v>492.69</c:v>
                </c:pt>
                <c:pt idx="24">
                  <c:v>523.48</c:v>
                </c:pt>
                <c:pt idx="25">
                  <c:v>523.48</c:v>
                </c:pt>
                <c:pt idx="26">
                  <c:v>538.88</c:v>
                </c:pt>
                <c:pt idx="27">
                  <c:v>554.27</c:v>
                </c:pt>
                <c:pt idx="28">
                  <c:v>538.88</c:v>
                </c:pt>
                <c:pt idx="29">
                  <c:v>523.48</c:v>
                </c:pt>
                <c:pt idx="30">
                  <c:v>538.88</c:v>
                </c:pt>
                <c:pt idx="31">
                  <c:v>569.66999999999996</c:v>
                </c:pt>
                <c:pt idx="32">
                  <c:v>569.66999999999996</c:v>
                </c:pt>
                <c:pt idx="33">
                  <c:v>585.07000000000005</c:v>
                </c:pt>
                <c:pt idx="34">
                  <c:v>569.66999999999996</c:v>
                </c:pt>
                <c:pt idx="35">
                  <c:v>569.66999999999996</c:v>
                </c:pt>
                <c:pt idx="36">
                  <c:v>554.27</c:v>
                </c:pt>
                <c:pt idx="37">
                  <c:v>538.88</c:v>
                </c:pt>
                <c:pt idx="38">
                  <c:v>569.66999999999996</c:v>
                </c:pt>
                <c:pt idx="39">
                  <c:v>585.07000000000005</c:v>
                </c:pt>
                <c:pt idx="40">
                  <c:v>600.46</c:v>
                </c:pt>
                <c:pt idx="41">
                  <c:v>631.25</c:v>
                </c:pt>
                <c:pt idx="42">
                  <c:v>646.65</c:v>
                </c:pt>
                <c:pt idx="43">
                  <c:v>677.44</c:v>
                </c:pt>
                <c:pt idx="44">
                  <c:v>677.44</c:v>
                </c:pt>
                <c:pt idx="45">
                  <c:v>646.65</c:v>
                </c:pt>
                <c:pt idx="46">
                  <c:v>677.44</c:v>
                </c:pt>
                <c:pt idx="47">
                  <c:v>677.44</c:v>
                </c:pt>
                <c:pt idx="48">
                  <c:v>692.84</c:v>
                </c:pt>
                <c:pt idx="49">
                  <c:v>692.84</c:v>
                </c:pt>
                <c:pt idx="50">
                  <c:v>723.63</c:v>
                </c:pt>
                <c:pt idx="51">
                  <c:v>754.43</c:v>
                </c:pt>
              </c:numCache>
            </c:numRef>
          </c:val>
          <c:extLst>
            <c:ext xmlns:c16="http://schemas.microsoft.com/office/drawing/2014/chart" uri="{C3380CC4-5D6E-409C-BE32-E72D297353CC}">
              <c16:uniqueId val="{00000000-80F4-4B0C-BA41-CB9D54A5C8DB}"/>
            </c:ext>
          </c:extLst>
        </c:ser>
        <c:ser>
          <c:idx val="1"/>
          <c:order val="1"/>
          <c:tx>
            <c:strRef>
              <c:f>Sheet4!$C$3</c:f>
              <c:strCache>
                <c:ptCount val="1"/>
                <c:pt idx="0">
                  <c:v>Count of Original Order</c:v>
                </c:pt>
              </c:strCache>
            </c:strRef>
          </c:tx>
          <c:spPr>
            <a:solidFill>
              <a:schemeClr val="accent5"/>
            </a:solidFill>
            <a:ln>
              <a:noFill/>
            </a:ln>
            <a:effectLst/>
          </c:spPr>
          <c:invertIfNegative val="0"/>
          <c:cat>
            <c:strRef>
              <c:f>Sheet4!$A$4:$A$56</c:f>
              <c:strCache>
                <c:ptCount val="52"/>
                <c:pt idx="0">
                  <c:v>11/8/2022</c:v>
                </c:pt>
                <c:pt idx="1">
                  <c:v>11/9/2022</c:v>
                </c:pt>
                <c:pt idx="2">
                  <c:v>11/10/2022</c:v>
                </c:pt>
                <c:pt idx="3">
                  <c:v>11/11/2022</c:v>
                </c:pt>
                <c:pt idx="4">
                  <c:v>11/12/2022</c:v>
                </c:pt>
                <c:pt idx="5">
                  <c:v>11/13/2022</c:v>
                </c:pt>
                <c:pt idx="6">
                  <c:v>11/14/2022</c:v>
                </c:pt>
                <c:pt idx="7">
                  <c:v>11/15/2022</c:v>
                </c:pt>
                <c:pt idx="8">
                  <c:v>11/16/2022</c:v>
                </c:pt>
                <c:pt idx="9">
                  <c:v>11/17/2022</c:v>
                </c:pt>
                <c:pt idx="10">
                  <c:v>11/18/2022</c:v>
                </c:pt>
                <c:pt idx="11">
                  <c:v>11/19/2022</c:v>
                </c:pt>
                <c:pt idx="12">
                  <c:v>11/20/2022</c:v>
                </c:pt>
                <c:pt idx="13">
                  <c:v>11/21/2022</c:v>
                </c:pt>
                <c:pt idx="14">
                  <c:v>11/22/2022</c:v>
                </c:pt>
                <c:pt idx="15">
                  <c:v>11/23/2022</c:v>
                </c:pt>
                <c:pt idx="16">
                  <c:v>11/24/2022</c:v>
                </c:pt>
                <c:pt idx="17">
                  <c:v>11/25/2022</c:v>
                </c:pt>
                <c:pt idx="18">
                  <c:v>11/26/2022</c:v>
                </c:pt>
                <c:pt idx="19">
                  <c:v>11/27/2022</c:v>
                </c:pt>
                <c:pt idx="20">
                  <c:v>11/28/2022</c:v>
                </c:pt>
                <c:pt idx="21">
                  <c:v>11/29/2022</c:v>
                </c:pt>
                <c:pt idx="22">
                  <c:v>11/30/2022</c:v>
                </c:pt>
                <c:pt idx="23">
                  <c:v>12/1/2022</c:v>
                </c:pt>
                <c:pt idx="24">
                  <c:v>12/2/2022</c:v>
                </c:pt>
                <c:pt idx="25">
                  <c:v>12/3/2022</c:v>
                </c:pt>
                <c:pt idx="26">
                  <c:v>12/4/2022</c:v>
                </c:pt>
                <c:pt idx="27">
                  <c:v>12/5/2022</c:v>
                </c:pt>
                <c:pt idx="28">
                  <c:v>12/6/2022</c:v>
                </c:pt>
                <c:pt idx="29">
                  <c:v>12/7/2022</c:v>
                </c:pt>
                <c:pt idx="30">
                  <c:v>12/8/2022</c:v>
                </c:pt>
                <c:pt idx="31">
                  <c:v>12/9/2022</c:v>
                </c:pt>
                <c:pt idx="32">
                  <c:v>12/10/2022</c:v>
                </c:pt>
                <c:pt idx="33">
                  <c:v>12/11/2022</c:v>
                </c:pt>
                <c:pt idx="34">
                  <c:v>12/12/2022</c:v>
                </c:pt>
                <c:pt idx="35">
                  <c:v>12/13/2022</c:v>
                </c:pt>
                <c:pt idx="36">
                  <c:v>12/14/2022</c:v>
                </c:pt>
                <c:pt idx="37">
                  <c:v>12/15/2022</c:v>
                </c:pt>
                <c:pt idx="38">
                  <c:v>12/16/2022</c:v>
                </c:pt>
                <c:pt idx="39">
                  <c:v>12/17/2022</c:v>
                </c:pt>
                <c:pt idx="40">
                  <c:v>12/18/2022</c:v>
                </c:pt>
                <c:pt idx="41">
                  <c:v>12/19/2022</c:v>
                </c:pt>
                <c:pt idx="42">
                  <c:v>12/20/2022</c:v>
                </c:pt>
                <c:pt idx="43">
                  <c:v>12/21/2022</c:v>
                </c:pt>
                <c:pt idx="44">
                  <c:v>12/22/2022</c:v>
                </c:pt>
                <c:pt idx="45">
                  <c:v>12/23/2022</c:v>
                </c:pt>
                <c:pt idx="46">
                  <c:v>12/24/2022</c:v>
                </c:pt>
                <c:pt idx="47">
                  <c:v>12/25/2022</c:v>
                </c:pt>
                <c:pt idx="48">
                  <c:v>12/26/2022</c:v>
                </c:pt>
                <c:pt idx="49">
                  <c:v>12/27/2022</c:v>
                </c:pt>
                <c:pt idx="50">
                  <c:v>12/28/2022</c:v>
                </c:pt>
                <c:pt idx="51">
                  <c:v>12/29/2022</c:v>
                </c:pt>
              </c:strCache>
            </c:strRef>
          </c:cat>
          <c:val>
            <c:numRef>
              <c:f>Sheet4!$C$4:$C$56</c:f>
              <c:numCache>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Cache>
            </c:numRef>
          </c:val>
          <c:extLst>
            <c:ext xmlns:c16="http://schemas.microsoft.com/office/drawing/2014/chart" uri="{C3380CC4-5D6E-409C-BE32-E72D297353CC}">
              <c16:uniqueId val="{00000001-80F4-4B0C-BA41-CB9D54A5C8DB}"/>
            </c:ext>
          </c:extLst>
        </c:ser>
        <c:dLbls>
          <c:showLegendKey val="0"/>
          <c:showVal val="0"/>
          <c:showCatName val="0"/>
          <c:showSerName val="0"/>
          <c:showPercent val="0"/>
          <c:showBubbleSize val="0"/>
        </c:dLbls>
        <c:gapWidth val="182"/>
        <c:axId val="1651044400"/>
        <c:axId val="1651040560"/>
      </c:barChart>
      <c:catAx>
        <c:axId val="1651044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040560"/>
        <c:crosses val="autoZero"/>
        <c:auto val="1"/>
        <c:lblAlgn val="ctr"/>
        <c:lblOffset val="100"/>
        <c:noMultiLvlLbl val="0"/>
      </c:catAx>
      <c:valAx>
        <c:axId val="1651040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04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[excelrestaurent.xlsx]Sheet10!PivotTable5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City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c:v>
                </c:pt>
              </c:strCache>
            </c:strRef>
          </c:tx>
          <c:spPr>
            <a:solidFill>
              <a:schemeClr val="accent1"/>
            </a:solidFill>
            <a:ln>
              <a:noFill/>
            </a:ln>
            <a:effectLst/>
          </c:spPr>
          <c:invertIfNegative val="0"/>
          <c:cat>
            <c:strRef>
              <c:f>Sheet10!$A$4:$A$9</c:f>
              <c:strCache>
                <c:ptCount val="5"/>
                <c:pt idx="0">
                  <c:v>Berlin</c:v>
                </c:pt>
                <c:pt idx="1">
                  <c:v>Lisbon</c:v>
                </c:pt>
                <c:pt idx="2">
                  <c:v>London</c:v>
                </c:pt>
                <c:pt idx="3">
                  <c:v>Madrid</c:v>
                </c:pt>
                <c:pt idx="4">
                  <c:v>Paris</c:v>
                </c:pt>
              </c:strCache>
            </c:strRef>
          </c:cat>
          <c:val>
            <c:numRef>
              <c:f>Sheet10!$B$4:$B$9</c:f>
              <c:numCache>
                <c:formatCode>#,##0.00_-\ [$€-1]</c:formatCode>
                <c:ptCount val="5"/>
                <c:pt idx="0">
                  <c:v>53399.941500000001</c:v>
                </c:pt>
                <c:pt idx="1">
                  <c:v>108799.82340000002</c:v>
                </c:pt>
                <c:pt idx="2">
                  <c:v>101800.29180000001</c:v>
                </c:pt>
                <c:pt idx="3">
                  <c:v>73599.781199999998</c:v>
                </c:pt>
                <c:pt idx="4">
                  <c:v>39399.968999999997</c:v>
                </c:pt>
              </c:numCache>
            </c:numRef>
          </c:val>
          <c:extLst>
            <c:ext xmlns:c16="http://schemas.microsoft.com/office/drawing/2014/chart" uri="{C3380CC4-5D6E-409C-BE32-E72D297353CC}">
              <c16:uniqueId val="{00000000-D4A7-45B8-B304-98BAAA9F267F}"/>
            </c:ext>
          </c:extLst>
        </c:ser>
        <c:dLbls>
          <c:showLegendKey val="0"/>
          <c:showVal val="0"/>
          <c:showCatName val="0"/>
          <c:showSerName val="0"/>
          <c:showPercent val="0"/>
          <c:showBubbleSize val="0"/>
        </c:dLbls>
        <c:gapWidth val="219"/>
        <c:overlap val="-27"/>
        <c:axId val="1651059280"/>
        <c:axId val="1651042960"/>
      </c:barChart>
      <c:catAx>
        <c:axId val="165105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042960"/>
        <c:crosses val="autoZero"/>
        <c:auto val="1"/>
        <c:lblAlgn val="ctr"/>
        <c:lblOffset val="100"/>
        <c:noMultiLvlLbl val="0"/>
      </c:catAx>
      <c:valAx>
        <c:axId val="1651042960"/>
        <c:scaling>
          <c:orientation val="minMax"/>
        </c:scaling>
        <c:delete val="0"/>
        <c:axPos val="l"/>
        <c:majorGridlines>
          <c:spPr>
            <a:ln w="9525" cap="flat" cmpd="sng" algn="ctr">
              <a:solidFill>
                <a:schemeClr val="tx1">
                  <a:lumMod val="15000"/>
                  <a:lumOff val="85000"/>
                </a:schemeClr>
              </a:solidFill>
              <a:round/>
            </a:ln>
            <a:effectLst/>
          </c:spPr>
        </c:majorGridlines>
        <c:numFmt formatCode="#,##0.00_-\ [$€-1]"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05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[excelrestaurent.xlsx]Sheet2!PivotTable1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a:t>
            </a:r>
            <a:endParaRPr lang="en-US"/>
          </a:p>
        </c:rich>
      </c:tx>
      <c:overlay val="0"/>
      <c:spPr>
        <a:noFill/>
        <a:ln>
          <a:noFill/>
        </a:ln>
        <a:effectLst/>
      </c:spPr>
    </c:title>
    <c:autoTitleDeleted val="0"/>
    <c:pivotFmts>
      <c:pivotFmt>
        <c:idx val="0"/>
        <c:spPr>
          <a:solidFill>
            <a:schemeClr val="accent2"/>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4"/>
          </a:solidFill>
          <a:ln w="19050">
            <a:solidFill>
              <a:schemeClr val="lt1"/>
            </a:solidFill>
          </a:ln>
          <a:effectLst/>
        </c:spPr>
        <c:dLbl>
          <c:idx val="0"/>
          <c:layout>
            <c:manualLayout>
              <c:x val="-2.2222222222222223E-2"/>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marker>
          <c:symbol val="none"/>
        </c:marker>
        <c:dLbl>
          <c:idx val="0"/>
          <c:delete val="1"/>
          <c:extLst>
            <c:ext xmlns:c15="http://schemas.microsoft.com/office/drawing/2012/chart" uri="{CE6537A1-D6FC-4f65-9D91-7224C49458BB}"/>
          </c:extLst>
        </c:dLbl>
      </c:pivotFmt>
      <c:pivotFmt>
        <c:idx val="3"/>
        <c:spPr>
          <a:solidFill>
            <a:schemeClr val="accent2"/>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6"/>
          </a:solidFill>
          <a:ln w="19050">
            <a:solidFill>
              <a:schemeClr val="lt1"/>
            </a:solidFill>
          </a:ln>
          <a:effectLst/>
        </c:spPr>
      </c:pivotFmt>
    </c:pivotFmts>
    <c:plotArea>
      <c:layout/>
      <c:pieChart>
        <c:varyColors val="1"/>
        <c:ser>
          <c:idx val="0"/>
          <c:order val="0"/>
          <c:tx>
            <c:strRef>
              <c:f>Sheet2!$B$3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151B-44AE-B318-F3DDDDFB5019}"/>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151B-44AE-B318-F3DDDDFB5019}"/>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151B-44AE-B318-F3DDDDFB5019}"/>
              </c:ext>
            </c:extLst>
          </c:dPt>
          <c:cat>
            <c:strRef>
              <c:f>Sheet2!$A$4:$A$7</c:f>
              <c:strCache>
                <c:ptCount val="3"/>
                <c:pt idx="0">
                  <c:v> Cash</c:v>
                </c:pt>
                <c:pt idx="1">
                  <c:v> Credit Card</c:v>
                </c:pt>
                <c:pt idx="2">
                  <c:v> Gift Card</c:v>
                </c:pt>
              </c:strCache>
            </c:strRef>
          </c:cat>
          <c:val>
            <c:numRef>
              <c:f>Sheet2!$B$4:$B$7</c:f>
              <c:numCache>
                <c:formatCode>General</c:formatCode>
                <c:ptCount val="3"/>
                <c:pt idx="0">
                  <c:v>16</c:v>
                </c:pt>
                <c:pt idx="1">
                  <c:v>26</c:v>
                </c:pt>
                <c:pt idx="2">
                  <c:v>10</c:v>
                </c:pt>
              </c:numCache>
            </c:numRef>
          </c:val>
          <c:extLst>
            <c:ext xmlns:c16="http://schemas.microsoft.com/office/drawing/2014/chart" uri="{C3380CC4-5D6E-409C-BE32-E72D297353CC}">
              <c16:uniqueId val="{00000006-151B-44AE-B318-F3DDDDFB501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'9. Sales-Data-Analysis'!$N$272</c:f>
              <c:strCache>
                <c:ptCount val="1"/>
                <c:pt idx="0">
                  <c:v>                           Revenue By City</c:v>
                </c:pt>
              </c:strCache>
            </c:strRef>
          </c:tx>
          <c:spPr>
            <a:solidFill>
              <a:schemeClr val="accent1"/>
            </a:solidFill>
            <a:ln>
              <a:noFill/>
            </a:ln>
            <a:effectLst/>
          </c:spPr>
          <c:invertIfNegative val="0"/>
          <c:cat>
            <c:strRef>
              <c:f>'9. Sales-Data-Analysis'!$M$273:$M$276</c:f>
              <c:strCache>
                <c:ptCount val="4"/>
                <c:pt idx="0">
                  <c:v>London</c:v>
                </c:pt>
                <c:pt idx="1">
                  <c:v>Paris</c:v>
                </c:pt>
                <c:pt idx="2">
                  <c:v>Madrid</c:v>
                </c:pt>
                <c:pt idx="3">
                  <c:v>Berlin</c:v>
                </c:pt>
              </c:strCache>
            </c:strRef>
          </c:cat>
          <c:val>
            <c:numRef>
              <c:f>'9. Sales-Data-Analysis'!$N$273:$N$276</c:f>
              <c:numCache>
                <c:formatCode>General</c:formatCode>
                <c:ptCount val="4"/>
                <c:pt idx="0">
                  <c:v>211201.04059999998</c:v>
                </c:pt>
                <c:pt idx="1">
                  <c:v>79800.305099999969</c:v>
                </c:pt>
                <c:pt idx="2">
                  <c:v>136200.26649999994</c:v>
                </c:pt>
                <c:pt idx="3">
                  <c:v>81400.131899999964</c:v>
                </c:pt>
              </c:numCache>
            </c:numRef>
          </c:val>
          <c:extLst>
            <c:ext xmlns:c16="http://schemas.microsoft.com/office/drawing/2014/chart" uri="{C3380CC4-5D6E-409C-BE32-E72D297353CC}">
              <c16:uniqueId val="{00000000-6BF1-4DBF-8336-5CA3AAA99939}"/>
            </c:ext>
          </c:extLst>
        </c:ser>
        <c:dLbls>
          <c:showLegendKey val="0"/>
          <c:showVal val="0"/>
          <c:showCatName val="0"/>
          <c:showSerName val="0"/>
          <c:showPercent val="0"/>
          <c:showBubbleSize val="0"/>
        </c:dLbls>
        <c:gapWidth val="219"/>
        <c:overlap val="-27"/>
        <c:axId val="812720415"/>
        <c:axId val="812723775"/>
      </c:barChart>
      <c:catAx>
        <c:axId val="81272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723775"/>
        <c:crosses val="autoZero"/>
        <c:auto val="1"/>
        <c:lblAlgn val="ctr"/>
        <c:lblOffset val="100"/>
        <c:noMultiLvlLbl val="0"/>
      </c:catAx>
      <c:valAx>
        <c:axId val="8127237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72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a:t>
            </a:r>
            <a:r>
              <a:rPr lang="en-IN" baseline="0"/>
              <a:t> Method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B1-48F1-9032-75EA33FFD0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B1-48F1-9032-75EA33FFD09E}"/>
              </c:ext>
            </c:extLst>
          </c:dPt>
          <c:dPt>
            <c:idx val="2"/>
            <c:bubble3D val="0"/>
            <c:explosion val="1"/>
            <c:spPr>
              <a:solidFill>
                <a:schemeClr val="accent6"/>
              </a:solidFill>
              <a:ln w="19050">
                <a:solidFill>
                  <a:schemeClr val="lt1"/>
                </a:solidFill>
              </a:ln>
              <a:effectLst/>
            </c:spPr>
            <c:extLst>
              <c:ext xmlns:c16="http://schemas.microsoft.com/office/drawing/2014/chart" uri="{C3380CC4-5D6E-409C-BE32-E72D297353CC}">
                <c16:uniqueId val="{00000002-8D62-4698-9974-2426D9D5C0C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'9. Sales-Data-Analysis'!$M$268:$M$270</c:f>
              <c:strCache>
                <c:ptCount val="3"/>
                <c:pt idx="0">
                  <c:v> Credit Card Orders</c:v>
                </c:pt>
                <c:pt idx="1">
                  <c:v>Cash Orders</c:v>
                </c:pt>
                <c:pt idx="2">
                  <c:v>Gift Card Orders</c:v>
                </c:pt>
              </c:strCache>
            </c:strRef>
          </c:cat>
          <c:val>
            <c:numRef>
              <c:f>'9. Sales-Data-Analysis'!$N$268:$N$270</c:f>
              <c:numCache>
                <c:formatCode>General</c:formatCode>
                <c:ptCount val="3"/>
                <c:pt idx="0">
                  <c:v>120</c:v>
                </c:pt>
                <c:pt idx="1">
                  <c:v>76</c:v>
                </c:pt>
                <c:pt idx="2">
                  <c:v>58</c:v>
                </c:pt>
              </c:numCache>
            </c:numRef>
          </c:val>
          <c:extLst>
            <c:ext xmlns:c16="http://schemas.microsoft.com/office/drawing/2014/chart" uri="{C3380CC4-5D6E-409C-BE32-E72D297353CC}">
              <c16:uniqueId val="{00000000-8D62-4698-9974-2426D9D5C0C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114300</xdr:colOff>
      <xdr:row>24</xdr:row>
      <xdr:rowOff>0</xdr:rowOff>
    </xdr:from>
    <xdr:to>
      <xdr:col>10</xdr:col>
      <xdr:colOff>563880</xdr:colOff>
      <xdr:row>59</xdr:row>
      <xdr:rowOff>45720</xdr:rowOff>
    </xdr:to>
    <xdr:graphicFrame macro="">
      <xdr:nvGraphicFramePr>
        <xdr:cNvPr id="4" name="Chart 1">
          <a:extLst>
            <a:ext uri="{FF2B5EF4-FFF2-40B4-BE49-F238E27FC236}">
              <a16:creationId xmlns:a16="http://schemas.microsoft.com/office/drawing/2014/main" id="{42805E9E-5854-D2A0-50EB-297EA7A7DF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480060</xdr:colOff>
      <xdr:row>24</xdr:row>
      <xdr:rowOff>68580</xdr:rowOff>
    </xdr:from>
    <xdr:to>
      <xdr:col>24</xdr:col>
      <xdr:colOff>175260</xdr:colOff>
      <xdr:row>61</xdr:row>
      <xdr:rowOff>106680</xdr:rowOff>
    </xdr:to>
    <xdr:graphicFrame macro="">
      <xdr:nvGraphicFramePr>
        <xdr:cNvPr id="5" name="Chart 2">
          <a:extLst>
            <a:ext uri="{FF2B5EF4-FFF2-40B4-BE49-F238E27FC236}">
              <a16:creationId xmlns:a16="http://schemas.microsoft.com/office/drawing/2014/main" id="{D30892F0-DD93-BF81-ABF1-D1C0E3585A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60960</xdr:colOff>
      <xdr:row>3</xdr:row>
      <xdr:rowOff>22860</xdr:rowOff>
    </xdr:from>
    <xdr:to>
      <xdr:col>11</xdr:col>
      <xdr:colOff>342900</xdr:colOff>
      <xdr:row>24</xdr:row>
      <xdr:rowOff>121920</xdr:rowOff>
    </xdr:to>
    <xdr:graphicFrame macro="">
      <xdr:nvGraphicFramePr>
        <xdr:cNvPr id="6" name="Chart 4">
          <a:extLst>
            <a:ext uri="{FF2B5EF4-FFF2-40B4-BE49-F238E27FC236}">
              <a16:creationId xmlns:a16="http://schemas.microsoft.com/office/drawing/2014/main" id="{5ECAC182-9E68-2244-3F87-6EC76CC5AB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152400</xdr:colOff>
      <xdr:row>3</xdr:row>
      <xdr:rowOff>30480</xdr:rowOff>
    </xdr:from>
    <xdr:to>
      <xdr:col>15</xdr:col>
      <xdr:colOff>152400</xdr:colOff>
      <xdr:row>15</xdr:row>
      <xdr:rowOff>30480</xdr:rowOff>
    </xdr:to>
    <mc:AlternateContent xmlns:mc="http://schemas.openxmlformats.org/markup-compatibility/2006" xmlns:a14="http://schemas.microsoft.com/office/drawing/2010/main">
      <mc:Choice Requires="a14">
        <xdr:graphicFrame macro="">
          <xdr:nvGraphicFramePr>
            <xdr:cNvPr id="8" name="City">
              <a:extLst>
                <a:ext uri="{FF2B5EF4-FFF2-40B4-BE49-F238E27FC236}">
                  <a16:creationId xmlns:a16="http://schemas.microsoft.com/office/drawing/2014/main" id="{68D3E053-2962-49FC-8763-2451B152AB7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467600" y="579120"/>
              <a:ext cx="1828800" cy="2194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182880</xdr:colOff>
      <xdr:row>17</xdr:row>
      <xdr:rowOff>15240</xdr:rowOff>
    </xdr:from>
    <xdr:to>
      <xdr:col>15</xdr:col>
      <xdr:colOff>182880</xdr:colOff>
      <xdr:row>24</xdr:row>
      <xdr:rowOff>22859</xdr:rowOff>
    </xdr:to>
    <mc:AlternateContent xmlns:mc="http://schemas.openxmlformats.org/markup-compatibility/2006" xmlns:a14="http://schemas.microsoft.com/office/drawing/2010/main">
      <mc:Choice Requires="a14">
        <xdr:graphicFrame macro="">
          <xdr:nvGraphicFramePr>
            <xdr:cNvPr id="9" name="Payment Method">
              <a:extLst>
                <a:ext uri="{FF2B5EF4-FFF2-40B4-BE49-F238E27FC236}">
                  <a16:creationId xmlns:a16="http://schemas.microsoft.com/office/drawing/2014/main" id="{D4514ECC-C89F-409A-9998-DF5B5B816FAB}"/>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7498080" y="3124200"/>
              <a:ext cx="1828800" cy="1287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137160</xdr:colOff>
      <xdr:row>3</xdr:row>
      <xdr:rowOff>57150</xdr:rowOff>
    </xdr:from>
    <xdr:to>
      <xdr:col>23</xdr:col>
      <xdr:colOff>441960</xdr:colOff>
      <xdr:row>22</xdr:row>
      <xdr:rowOff>83820</xdr:rowOff>
    </xdr:to>
    <xdr:graphicFrame macro="">
      <xdr:nvGraphicFramePr>
        <xdr:cNvPr id="10" name="Chart 4">
          <a:extLst>
            <a:ext uri="{FF2B5EF4-FFF2-40B4-BE49-F238E27FC236}">
              <a16:creationId xmlns:a16="http://schemas.microsoft.com/office/drawing/2014/main" id="{88D6F7F5-3691-3DB8-D097-5E1235F666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259080</xdr:colOff>
      <xdr:row>27</xdr:row>
      <xdr:rowOff>91440</xdr:rowOff>
    </xdr:from>
    <xdr:to>
      <xdr:col>15</xdr:col>
      <xdr:colOff>259080</xdr:colOff>
      <xdr:row>40</xdr:row>
      <xdr:rowOff>180975</xdr:rowOff>
    </xdr:to>
    <mc:AlternateContent xmlns:mc="http://schemas.openxmlformats.org/markup-compatibility/2006" xmlns:a14="http://schemas.microsoft.com/office/drawing/2010/main">
      <mc:Choice Requires="a14">
        <xdr:graphicFrame macro="">
          <xdr:nvGraphicFramePr>
            <xdr:cNvPr id="12" name="Product">
              <a:extLst>
                <a:ext uri="{FF2B5EF4-FFF2-40B4-BE49-F238E27FC236}">
                  <a16:creationId xmlns:a16="http://schemas.microsoft.com/office/drawing/2014/main" id="{2247B04E-617F-469E-9A09-9F971982788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574280" y="5029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8</xdr:col>
      <xdr:colOff>533400</xdr:colOff>
      <xdr:row>0</xdr:row>
      <xdr:rowOff>76200</xdr:rowOff>
    </xdr:from>
    <xdr:ext cx="4998720" cy="465581"/>
    <xdr:sp macro="" textlink="">
      <xdr:nvSpPr>
        <xdr:cNvPr id="7" name="TextBox 6">
          <a:extLst>
            <a:ext uri="{FF2B5EF4-FFF2-40B4-BE49-F238E27FC236}">
              <a16:creationId xmlns:a16="http://schemas.microsoft.com/office/drawing/2014/main" id="{9CA0986B-6BC5-9747-2C1C-7D986AFE8983}"/>
            </a:ext>
          </a:extLst>
        </xdr:cNvPr>
        <xdr:cNvSpPr txBox="1"/>
      </xdr:nvSpPr>
      <xdr:spPr>
        <a:xfrm>
          <a:off x="5410200" y="76200"/>
          <a:ext cx="4998720" cy="4655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t>                Restaurant</a:t>
          </a:r>
          <a:r>
            <a:rPr lang="en-IN" sz="1800" b="1" baseline="0"/>
            <a:t> Sales Dashboard</a:t>
          </a:r>
          <a:endParaRPr lang="en-IN" sz="1800" b="1"/>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3</xdr:col>
      <xdr:colOff>205740</xdr:colOff>
      <xdr:row>257</xdr:row>
      <xdr:rowOff>49530</xdr:rowOff>
    </xdr:from>
    <xdr:to>
      <xdr:col>9</xdr:col>
      <xdr:colOff>441960</xdr:colOff>
      <xdr:row>273</xdr:row>
      <xdr:rowOff>114300</xdr:rowOff>
    </xdr:to>
    <xdr:graphicFrame macro="">
      <xdr:nvGraphicFramePr>
        <xdr:cNvPr id="3" name="Chart 2">
          <a:extLst>
            <a:ext uri="{FF2B5EF4-FFF2-40B4-BE49-F238E27FC236}">
              <a16:creationId xmlns:a16="http://schemas.microsoft.com/office/drawing/2014/main" id="{8EED28BE-C4B1-7C63-6981-EF2B69DDA5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701040</xdr:colOff>
      <xdr:row>255</xdr:row>
      <xdr:rowOff>19050</xdr:rowOff>
    </xdr:from>
    <xdr:to>
      <xdr:col>19</xdr:col>
      <xdr:colOff>571500</xdr:colOff>
      <xdr:row>272</xdr:row>
      <xdr:rowOff>144780</xdr:rowOff>
    </xdr:to>
    <xdr:graphicFrame macro="">
      <xdr:nvGraphicFramePr>
        <xdr:cNvPr id="5" name="Chart 4">
          <a:extLst>
            <a:ext uri="{FF2B5EF4-FFF2-40B4-BE49-F238E27FC236}">
              <a16:creationId xmlns:a16="http://schemas.microsoft.com/office/drawing/2014/main" id="{EB219704-F6CC-0521-FBF1-1AF0E0A07F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731520</xdr:colOff>
      <xdr:row>7</xdr:row>
      <xdr:rowOff>0</xdr:rowOff>
    </xdr:from>
    <xdr:to>
      <xdr:col>8</xdr:col>
      <xdr:colOff>281940</xdr:colOff>
      <xdr:row>20</xdr:row>
      <xdr:rowOff>89535</xdr:rowOff>
    </xdr:to>
    <mc:AlternateContent xmlns:mc="http://schemas.openxmlformats.org/markup-compatibility/2006" xmlns:a14="http://schemas.microsoft.com/office/drawing/2010/main">
      <mc:Choice Requires="a14">
        <xdr:graphicFrame macro="">
          <xdr:nvGraphicFramePr>
            <xdr:cNvPr id="4" name="Date">
              <a:extLst>
                <a:ext uri="{FF2B5EF4-FFF2-40B4-BE49-F238E27FC236}">
                  <a16:creationId xmlns:a16="http://schemas.microsoft.com/office/drawing/2014/main" id="{94609A44-4984-AF77-11D6-5BCB204EAD9A}"/>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6301740" y="1280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jali Naik" refreshedDate="45915.140427430553" missingItemsLimit="0" createdVersion="8" refreshedVersion="8" minRefreshableVersion="3" recordCount="254" xr:uid="{32F7002F-0898-490A-A20F-2225AB915735}">
  <cacheSource type="worksheet">
    <worksheetSource ref="A1:K255" sheet="9. Sales-Data-Analysis"/>
  </cacheSource>
  <cacheFields count="11">
    <cacheField name="Original Order" numFmtId="0">
      <sharedItems containsSemiMixedTypes="0" containsString="0" containsNumber="1" containsInteger="1" minValue="1" maxValue="254"/>
    </cacheField>
    <cacheField name="Order ID" numFmtId="0">
      <sharedItems containsSemiMixedTypes="0" containsString="0" containsNumber="1" containsInteger="1" minValue="10452" maxValue="10713"/>
    </cacheField>
    <cacheField name="Date" numFmtId="14">
      <sharedItems containsSemiMixedTypes="0" containsNonDate="0" containsDate="1" containsString="0" minDate="2022-11-07T00:00:00" maxDate="2022-12-30T00:00:00" count="53">
        <d v="2022-11-13T00:00:00"/>
        <d v="2022-12-29T00:00:00"/>
        <d v="2022-12-28T00:00:00"/>
        <d v="2022-12-26T00:00:00"/>
        <d v="2022-12-27T00:00:00"/>
        <d v="2022-12-21T00:00:00"/>
        <d v="2022-12-22T00:00:00"/>
        <d v="2022-12-24T00:00:00"/>
        <d v="2022-12-25T00:00:00"/>
        <d v="2022-12-20T00:00:00"/>
        <d v="2022-12-23T00:00:00"/>
        <d v="2022-12-19T00:00:00"/>
        <d v="2022-12-18T00:00:00"/>
        <d v="2022-12-11T00:00:00"/>
        <d v="2022-12-17T00:00:00"/>
        <d v="2022-11-08T00:00:00"/>
        <d v="2022-12-09T00:00:00"/>
        <d v="2022-12-10T00:00:00"/>
        <d v="2022-12-12T00:00:00"/>
        <d v="2022-12-13T00:00:00"/>
        <d v="2022-12-16T00:00:00"/>
        <d v="2022-11-09T00:00:00"/>
        <d v="2022-11-10T00:00:00"/>
        <d v="2022-11-11T00:00:00"/>
        <d v="2022-12-05T00:00:00"/>
        <d v="2022-12-14T00:00:00"/>
        <d v="2022-11-18T00:00:00"/>
        <d v="2022-12-04T00:00:00"/>
        <d v="2022-12-06T00:00:00"/>
        <d v="2022-12-08T00:00:00"/>
        <d v="2022-12-15T00:00:00"/>
        <d v="2022-11-12T00:00:00"/>
        <d v="2022-11-17T00:00:00"/>
        <d v="2022-11-14T00:00:00"/>
        <d v="2022-12-02T00:00:00"/>
        <d v="2022-12-03T00:00:00"/>
        <d v="2022-12-07T00:00:00"/>
        <d v="2022-11-15T00:00:00"/>
        <d v="2022-11-16T00:00:00"/>
        <d v="2022-11-19T00:00:00"/>
        <d v="2022-11-21T00:00:00"/>
        <d v="2022-11-30T00:00:00"/>
        <d v="2022-12-01T00:00:00"/>
        <d v="2022-11-20T00:00:00"/>
        <d v="2022-11-23T00:00:00"/>
        <d v="2022-11-24T00:00:00"/>
        <d v="2022-11-28T00:00:00"/>
        <d v="2022-11-29T00:00:00"/>
        <d v="2022-11-22T00:00:00"/>
        <d v="2022-11-25T00:00:00"/>
        <d v="2022-11-27T00:00:00"/>
        <d v="2022-11-26T00:00:00"/>
        <d v="2022-11-07T00:00:00"/>
      </sharedItems>
    </cacheField>
    <cacheField name="Product" numFmtId="0">
      <sharedItems count="5">
        <s v="Fries"/>
        <s v="Burgers"/>
        <s v="Chicken Sandwiches"/>
        <s v="Beverages"/>
        <s v="Sides &amp; Other"/>
      </sharedItems>
    </cacheField>
    <cacheField name="Price" numFmtId="0">
      <sharedItems containsSemiMixedTypes="0" containsString="0" containsNumber="1" minValue="2.95" maxValue="29.05" count="7">
        <n v="25.5"/>
        <n v="12.99"/>
        <n v="29.05"/>
        <n v="9.9499999999999993"/>
        <n v="3.49"/>
        <n v="2.95"/>
        <n v="4.99"/>
      </sharedItems>
    </cacheField>
    <cacheField name="Quantity" numFmtId="0">
      <sharedItems containsSemiMixedTypes="0" containsString="0" containsNumber="1" minValue="200.4" maxValue="754.43"/>
    </cacheField>
    <cacheField name="Revenue" numFmtId="164">
      <sharedItems containsSemiMixedTypes="0" containsString="0" containsNumber="1" minValue="999.99600000000009" maxValue="16074.434999999999"/>
    </cacheField>
    <cacheField name="Purchase Type" numFmtId="0">
      <sharedItems count="3">
        <s v="In-store "/>
        <s v="Drive-thru "/>
        <s v="Online "/>
      </sharedItems>
    </cacheField>
    <cacheField name="Payment Method" numFmtId="0">
      <sharedItems count="3">
        <s v=" Credit Card"/>
        <s v=" Gift Card"/>
        <s v=" Cash"/>
      </sharedItems>
    </cacheField>
    <cacheField name="Manager" numFmtId="0">
      <sharedItems count="9">
        <s v="Joao Silva"/>
        <s v="Walter Muller"/>
        <s v="Tom Jackson"/>
        <s v="Remy Monet"/>
        <s v="Pablo Perez"/>
        <s v=" Pablo Perez"/>
        <s v="Pablo  Perez"/>
        <s v=" Remy Monet"/>
        <s v="Joao    Silva"/>
      </sharedItems>
    </cacheField>
    <cacheField name="City" numFmtId="0">
      <sharedItems count="5">
        <s v="Lisbon"/>
        <s v="Berlin"/>
        <s v="London"/>
        <s v="Paris"/>
        <s v="Madrid"/>
      </sharedItems>
    </cacheField>
  </cacheFields>
  <extLst>
    <ext xmlns:x14="http://schemas.microsoft.com/office/spreadsheetml/2009/9/main" uri="{725AE2AE-9491-48be-B2B4-4EB974FC3084}">
      <x14:pivotCacheDefinition pivotCacheId="2532046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4">
  <r>
    <n v="1"/>
    <n v="10482"/>
    <x v="0"/>
    <x v="0"/>
    <x v="0"/>
    <n v="630.37"/>
    <n v="16074.434999999999"/>
    <x v="0"/>
    <x v="0"/>
    <x v="0"/>
    <x v="0"/>
  </r>
  <r>
    <n v="2"/>
    <n v="10710"/>
    <x v="1"/>
    <x v="1"/>
    <x v="1"/>
    <n v="754.43"/>
    <n v="9800.0456999999988"/>
    <x v="1"/>
    <x v="1"/>
    <x v="1"/>
    <x v="1"/>
  </r>
  <r>
    <n v="3"/>
    <n v="10705"/>
    <x v="2"/>
    <x v="1"/>
    <x v="1"/>
    <n v="723.63"/>
    <n v="9399.9537"/>
    <x v="1"/>
    <x v="1"/>
    <x v="1"/>
    <x v="1"/>
  </r>
  <r>
    <n v="4"/>
    <n v="10695"/>
    <x v="3"/>
    <x v="1"/>
    <x v="1"/>
    <n v="692.84"/>
    <n v="8999.9916000000012"/>
    <x v="0"/>
    <x v="2"/>
    <x v="1"/>
    <x v="1"/>
  </r>
  <r>
    <n v="5"/>
    <n v="10700"/>
    <x v="4"/>
    <x v="1"/>
    <x v="1"/>
    <n v="692.84"/>
    <n v="8999.9916000000012"/>
    <x v="0"/>
    <x v="2"/>
    <x v="1"/>
    <x v="1"/>
  </r>
  <r>
    <n v="6"/>
    <n v="10670"/>
    <x v="5"/>
    <x v="1"/>
    <x v="1"/>
    <n v="677.44"/>
    <n v="8799.9456000000009"/>
    <x v="0"/>
    <x v="2"/>
    <x v="0"/>
    <x v="0"/>
  </r>
  <r>
    <n v="7"/>
    <n v="10675"/>
    <x v="6"/>
    <x v="1"/>
    <x v="1"/>
    <n v="677.44"/>
    <n v="8799.9456000000009"/>
    <x v="0"/>
    <x v="2"/>
    <x v="0"/>
    <x v="0"/>
  </r>
  <r>
    <n v="8"/>
    <n v="10685"/>
    <x v="7"/>
    <x v="1"/>
    <x v="1"/>
    <n v="677.44"/>
    <n v="8799.9456000000009"/>
    <x v="0"/>
    <x v="2"/>
    <x v="0"/>
    <x v="0"/>
  </r>
  <r>
    <n v="9"/>
    <n v="10690"/>
    <x v="8"/>
    <x v="1"/>
    <x v="1"/>
    <n v="677.44"/>
    <n v="8799.9456000000009"/>
    <x v="0"/>
    <x v="2"/>
    <x v="1"/>
    <x v="1"/>
  </r>
  <r>
    <n v="10"/>
    <n v="10665"/>
    <x v="9"/>
    <x v="1"/>
    <x v="1"/>
    <n v="646.65"/>
    <n v="8399.9835000000003"/>
    <x v="0"/>
    <x v="2"/>
    <x v="0"/>
    <x v="0"/>
  </r>
  <r>
    <n v="11"/>
    <n v="10680"/>
    <x v="10"/>
    <x v="1"/>
    <x v="1"/>
    <n v="646.65"/>
    <n v="8399.9835000000003"/>
    <x v="0"/>
    <x v="2"/>
    <x v="0"/>
    <x v="0"/>
  </r>
  <r>
    <n v="12"/>
    <n v="10660"/>
    <x v="11"/>
    <x v="1"/>
    <x v="1"/>
    <n v="631.25"/>
    <n v="8199.9375"/>
    <x v="0"/>
    <x v="2"/>
    <x v="0"/>
    <x v="0"/>
  </r>
  <r>
    <n v="13"/>
    <n v="10655"/>
    <x v="12"/>
    <x v="1"/>
    <x v="1"/>
    <n v="600.46"/>
    <n v="7799.9754000000003"/>
    <x v="2"/>
    <x v="1"/>
    <x v="0"/>
    <x v="0"/>
  </r>
  <r>
    <n v="14"/>
    <n v="10620"/>
    <x v="13"/>
    <x v="1"/>
    <x v="1"/>
    <n v="585.07000000000005"/>
    <n v="7600.0593000000008"/>
    <x v="2"/>
    <x v="1"/>
    <x v="2"/>
    <x v="2"/>
  </r>
  <r>
    <n v="15"/>
    <n v="10650"/>
    <x v="14"/>
    <x v="1"/>
    <x v="1"/>
    <n v="585.07000000000005"/>
    <n v="7600.0593000000008"/>
    <x v="2"/>
    <x v="1"/>
    <x v="0"/>
    <x v="0"/>
  </r>
  <r>
    <n v="16"/>
    <n v="10455"/>
    <x v="15"/>
    <x v="1"/>
    <x v="1"/>
    <n v="569.66999999999996"/>
    <n v="7400.0132999999996"/>
    <x v="0"/>
    <x v="0"/>
    <x v="1"/>
    <x v="1"/>
  </r>
  <r>
    <n v="17"/>
    <n v="10610"/>
    <x v="16"/>
    <x v="1"/>
    <x v="1"/>
    <n v="569.66999999999996"/>
    <n v="7400.0132999999996"/>
    <x v="2"/>
    <x v="1"/>
    <x v="2"/>
    <x v="2"/>
  </r>
  <r>
    <n v="18"/>
    <n v="10615"/>
    <x v="17"/>
    <x v="1"/>
    <x v="1"/>
    <n v="569.66999999999996"/>
    <n v="7400.0132999999996"/>
    <x v="2"/>
    <x v="1"/>
    <x v="2"/>
    <x v="2"/>
  </r>
  <r>
    <n v="19"/>
    <n v="10625"/>
    <x v="18"/>
    <x v="1"/>
    <x v="1"/>
    <n v="569.66999999999996"/>
    <n v="7400.0132999999996"/>
    <x v="2"/>
    <x v="1"/>
    <x v="2"/>
    <x v="2"/>
  </r>
  <r>
    <n v="20"/>
    <n v="10630"/>
    <x v="19"/>
    <x v="1"/>
    <x v="1"/>
    <n v="569.66999999999996"/>
    <n v="7400.0132999999996"/>
    <x v="2"/>
    <x v="2"/>
    <x v="0"/>
    <x v="0"/>
  </r>
  <r>
    <n v="21"/>
    <n v="10645"/>
    <x v="20"/>
    <x v="1"/>
    <x v="1"/>
    <n v="569.66999999999996"/>
    <n v="7400.0132999999996"/>
    <x v="2"/>
    <x v="2"/>
    <x v="0"/>
    <x v="0"/>
  </r>
  <r>
    <n v="22"/>
    <n v="10460"/>
    <x v="21"/>
    <x v="1"/>
    <x v="1"/>
    <n v="554.27"/>
    <n v="7199.9673000000003"/>
    <x v="0"/>
    <x v="0"/>
    <x v="3"/>
    <x v="3"/>
  </r>
  <r>
    <n v="23"/>
    <n v="10465"/>
    <x v="22"/>
    <x v="1"/>
    <x v="1"/>
    <n v="554.27"/>
    <n v="7199.9673000000003"/>
    <x v="0"/>
    <x v="0"/>
    <x v="4"/>
    <x v="4"/>
  </r>
  <r>
    <n v="24"/>
    <n v="10470"/>
    <x v="23"/>
    <x v="1"/>
    <x v="1"/>
    <n v="554.27"/>
    <n v="7199.9673000000003"/>
    <x v="0"/>
    <x v="0"/>
    <x v="5"/>
    <x v="4"/>
  </r>
  <r>
    <n v="25"/>
    <n v="10590"/>
    <x v="24"/>
    <x v="1"/>
    <x v="1"/>
    <n v="554.27"/>
    <n v="7199.9673000000003"/>
    <x v="2"/>
    <x v="0"/>
    <x v="2"/>
    <x v="2"/>
  </r>
  <r>
    <n v="26"/>
    <n v="10635"/>
    <x v="25"/>
    <x v="1"/>
    <x v="1"/>
    <n v="554.27"/>
    <n v="7199.9673000000003"/>
    <x v="2"/>
    <x v="1"/>
    <x v="0"/>
    <x v="0"/>
  </r>
  <r>
    <n v="27"/>
    <n v="10505"/>
    <x v="26"/>
    <x v="1"/>
    <x v="1"/>
    <n v="538.88"/>
    <n v="7000.0511999999999"/>
    <x v="1"/>
    <x v="0"/>
    <x v="4"/>
    <x v="4"/>
  </r>
  <r>
    <n v="28"/>
    <n v="10585"/>
    <x v="27"/>
    <x v="1"/>
    <x v="1"/>
    <n v="538.88"/>
    <n v="7000.0511999999999"/>
    <x v="2"/>
    <x v="0"/>
    <x v="2"/>
    <x v="2"/>
  </r>
  <r>
    <n v="29"/>
    <n v="10595"/>
    <x v="28"/>
    <x v="1"/>
    <x v="1"/>
    <n v="538.88"/>
    <n v="7000.0511999999999"/>
    <x v="2"/>
    <x v="0"/>
    <x v="2"/>
    <x v="2"/>
  </r>
  <r>
    <n v="30"/>
    <n v="10605"/>
    <x v="29"/>
    <x v="1"/>
    <x v="1"/>
    <n v="538.88"/>
    <n v="7000.0511999999999"/>
    <x v="2"/>
    <x v="2"/>
    <x v="2"/>
    <x v="2"/>
  </r>
  <r>
    <n v="31"/>
    <n v="10640"/>
    <x v="30"/>
    <x v="1"/>
    <x v="1"/>
    <n v="538.88"/>
    <n v="7000.0511999999999"/>
    <x v="2"/>
    <x v="1"/>
    <x v="0"/>
    <x v="0"/>
  </r>
  <r>
    <n v="32"/>
    <n v="10475"/>
    <x v="31"/>
    <x v="1"/>
    <x v="1"/>
    <n v="523.48"/>
    <n v="6800.0052000000005"/>
    <x v="0"/>
    <x v="0"/>
    <x v="5"/>
    <x v="4"/>
  </r>
  <r>
    <n v="33"/>
    <n v="10500"/>
    <x v="32"/>
    <x v="1"/>
    <x v="1"/>
    <n v="523.48"/>
    <n v="6800.0052000000005"/>
    <x v="1"/>
    <x v="0"/>
    <x v="4"/>
    <x v="4"/>
  </r>
  <r>
    <n v="34"/>
    <n v="10485"/>
    <x v="33"/>
    <x v="1"/>
    <x v="1"/>
    <n v="523.48"/>
    <n v="6800.0052000000005"/>
    <x v="0"/>
    <x v="0"/>
    <x v="0"/>
    <x v="0"/>
  </r>
  <r>
    <n v="35"/>
    <n v="10575"/>
    <x v="34"/>
    <x v="1"/>
    <x v="1"/>
    <n v="523.48"/>
    <n v="6800.0052000000005"/>
    <x v="2"/>
    <x v="0"/>
    <x v="3"/>
    <x v="3"/>
  </r>
  <r>
    <n v="36"/>
    <n v="10580"/>
    <x v="35"/>
    <x v="1"/>
    <x v="1"/>
    <n v="523.48"/>
    <n v="6800.0052000000005"/>
    <x v="2"/>
    <x v="0"/>
    <x v="3"/>
    <x v="3"/>
  </r>
  <r>
    <n v="37"/>
    <n v="10600"/>
    <x v="36"/>
    <x v="1"/>
    <x v="1"/>
    <n v="523.48"/>
    <n v="6800.0052000000005"/>
    <x v="2"/>
    <x v="0"/>
    <x v="2"/>
    <x v="2"/>
  </r>
  <r>
    <n v="38"/>
    <n v="10480"/>
    <x v="0"/>
    <x v="1"/>
    <x v="1"/>
    <n v="508.08"/>
    <n v="6599.9592000000002"/>
    <x v="0"/>
    <x v="0"/>
    <x v="4"/>
    <x v="4"/>
  </r>
  <r>
    <n v="39"/>
    <n v="10490"/>
    <x v="37"/>
    <x v="1"/>
    <x v="1"/>
    <n v="508.08"/>
    <n v="6599.9592000000002"/>
    <x v="0"/>
    <x v="0"/>
    <x v="4"/>
    <x v="4"/>
  </r>
  <r>
    <n v="40"/>
    <n v="10495"/>
    <x v="38"/>
    <x v="1"/>
    <x v="1"/>
    <n v="508.08"/>
    <n v="6599.9592000000002"/>
    <x v="0"/>
    <x v="0"/>
    <x v="4"/>
    <x v="4"/>
  </r>
  <r>
    <n v="41"/>
    <n v="10510"/>
    <x v="39"/>
    <x v="1"/>
    <x v="1"/>
    <n v="508.08"/>
    <n v="6599.9592000000002"/>
    <x v="1"/>
    <x v="0"/>
    <x v="4"/>
    <x v="4"/>
  </r>
  <r>
    <n v="42"/>
    <n v="10520"/>
    <x v="40"/>
    <x v="1"/>
    <x v="1"/>
    <n v="492.69"/>
    <n v="6400.0430999999999"/>
    <x v="1"/>
    <x v="2"/>
    <x v="3"/>
    <x v="3"/>
  </r>
  <r>
    <n v="43"/>
    <n v="10565"/>
    <x v="41"/>
    <x v="1"/>
    <x v="1"/>
    <n v="492.69"/>
    <n v="6400.0430999999999"/>
    <x v="2"/>
    <x v="0"/>
    <x v="2"/>
    <x v="2"/>
  </r>
  <r>
    <n v="44"/>
    <n v="10570"/>
    <x v="42"/>
    <x v="1"/>
    <x v="1"/>
    <n v="492.69"/>
    <n v="6400.0430999999999"/>
    <x v="2"/>
    <x v="0"/>
    <x v="2"/>
    <x v="2"/>
  </r>
  <r>
    <n v="45"/>
    <n v="10515"/>
    <x v="43"/>
    <x v="1"/>
    <x v="1"/>
    <n v="477.29"/>
    <n v="6199.9971000000005"/>
    <x v="1"/>
    <x v="2"/>
    <x v="0"/>
    <x v="0"/>
  </r>
  <r>
    <n v="46"/>
    <n v="10530"/>
    <x v="44"/>
    <x v="1"/>
    <x v="1"/>
    <n v="477.29"/>
    <n v="6199.9971000000005"/>
    <x v="1"/>
    <x v="2"/>
    <x v="3"/>
    <x v="3"/>
  </r>
  <r>
    <n v="47"/>
    <n v="10535"/>
    <x v="45"/>
    <x v="1"/>
    <x v="1"/>
    <n v="477.29"/>
    <n v="6199.9971000000005"/>
    <x v="1"/>
    <x v="0"/>
    <x v="4"/>
    <x v="4"/>
  </r>
  <r>
    <n v="48"/>
    <n v="10555"/>
    <x v="46"/>
    <x v="1"/>
    <x v="1"/>
    <n v="477.29"/>
    <n v="6199.9971000000005"/>
    <x v="2"/>
    <x v="0"/>
    <x v="2"/>
    <x v="2"/>
  </r>
  <r>
    <n v="49"/>
    <n v="10560"/>
    <x v="47"/>
    <x v="1"/>
    <x v="1"/>
    <n v="477.29"/>
    <n v="6199.9971000000005"/>
    <x v="2"/>
    <x v="0"/>
    <x v="2"/>
    <x v="2"/>
  </r>
  <r>
    <n v="50"/>
    <n v="10525"/>
    <x v="48"/>
    <x v="1"/>
    <x v="1"/>
    <n v="461.89"/>
    <n v="5999.9511000000002"/>
    <x v="1"/>
    <x v="2"/>
    <x v="3"/>
    <x v="3"/>
  </r>
  <r>
    <n v="51"/>
    <n v="10540"/>
    <x v="49"/>
    <x v="1"/>
    <x v="1"/>
    <n v="461.89"/>
    <n v="5999.9511000000002"/>
    <x v="1"/>
    <x v="0"/>
    <x v="4"/>
    <x v="4"/>
  </r>
  <r>
    <n v="52"/>
    <n v="10550"/>
    <x v="50"/>
    <x v="1"/>
    <x v="1"/>
    <n v="461.89"/>
    <n v="5999.9511000000002"/>
    <x v="1"/>
    <x v="0"/>
    <x v="2"/>
    <x v="2"/>
  </r>
  <r>
    <n v="53"/>
    <n v="10486"/>
    <x v="33"/>
    <x v="2"/>
    <x v="2"/>
    <n v="201.01"/>
    <n v="5839.3405000000002"/>
    <x v="0"/>
    <x v="0"/>
    <x v="0"/>
    <x v="0"/>
  </r>
  <r>
    <n v="54"/>
    <n v="10545"/>
    <x v="51"/>
    <x v="1"/>
    <x v="1"/>
    <n v="446.5"/>
    <n v="5800.0349999999999"/>
    <x v="1"/>
    <x v="0"/>
    <x v="2"/>
    <x v="2"/>
  </r>
  <r>
    <n v="55"/>
    <n v="10706"/>
    <x v="2"/>
    <x v="2"/>
    <x v="3"/>
    <n v="301.51"/>
    <n v="3000.0244999999995"/>
    <x v="1"/>
    <x v="1"/>
    <x v="1"/>
    <x v="1"/>
  </r>
  <r>
    <n v="56"/>
    <n v="10696"/>
    <x v="3"/>
    <x v="2"/>
    <x v="3"/>
    <n v="281.41000000000003"/>
    <n v="2800.0295000000001"/>
    <x v="0"/>
    <x v="2"/>
    <x v="1"/>
    <x v="1"/>
  </r>
  <r>
    <n v="57"/>
    <n v="10701"/>
    <x v="4"/>
    <x v="2"/>
    <x v="3"/>
    <n v="281.41000000000003"/>
    <n v="2800.0295000000001"/>
    <x v="0"/>
    <x v="2"/>
    <x v="1"/>
    <x v="1"/>
  </r>
  <r>
    <n v="58"/>
    <n v="10711"/>
    <x v="1"/>
    <x v="2"/>
    <x v="3"/>
    <n v="281.41000000000003"/>
    <n v="2800.0295000000001"/>
    <x v="1"/>
    <x v="1"/>
    <x v="1"/>
    <x v="1"/>
  </r>
  <r>
    <n v="59"/>
    <n v="10691"/>
    <x v="8"/>
    <x v="2"/>
    <x v="3"/>
    <n v="261.31"/>
    <n v="2600.0344999999998"/>
    <x v="0"/>
    <x v="2"/>
    <x v="1"/>
    <x v="1"/>
  </r>
  <r>
    <n v="60"/>
    <n v="10676"/>
    <x v="6"/>
    <x v="2"/>
    <x v="3"/>
    <n v="241.21"/>
    <n v="2400.0394999999999"/>
    <x v="0"/>
    <x v="2"/>
    <x v="0"/>
    <x v="0"/>
  </r>
  <r>
    <n v="61"/>
    <n v="10681"/>
    <x v="10"/>
    <x v="2"/>
    <x v="3"/>
    <n v="241.21"/>
    <n v="2400.0394999999999"/>
    <x v="0"/>
    <x v="2"/>
    <x v="0"/>
    <x v="0"/>
  </r>
  <r>
    <n v="62"/>
    <n v="10686"/>
    <x v="7"/>
    <x v="2"/>
    <x v="3"/>
    <n v="241.21"/>
    <n v="2400.0394999999999"/>
    <x v="0"/>
    <x v="2"/>
    <x v="0"/>
    <x v="0"/>
  </r>
  <r>
    <n v="63"/>
    <n v="10507"/>
    <x v="26"/>
    <x v="0"/>
    <x v="4"/>
    <n v="687.68"/>
    <n v="2400.0032000000001"/>
    <x v="1"/>
    <x v="0"/>
    <x v="4"/>
    <x v="4"/>
  </r>
  <r>
    <n v="64"/>
    <n v="10512"/>
    <x v="39"/>
    <x v="0"/>
    <x v="4"/>
    <n v="687.68"/>
    <n v="2400.0032000000001"/>
    <x v="1"/>
    <x v="0"/>
    <x v="0"/>
    <x v="0"/>
  </r>
  <r>
    <n v="65"/>
    <n v="10522"/>
    <x v="40"/>
    <x v="0"/>
    <x v="4"/>
    <n v="687.68"/>
    <n v="2400.0032000000001"/>
    <x v="1"/>
    <x v="2"/>
    <x v="3"/>
    <x v="3"/>
  </r>
  <r>
    <n v="66"/>
    <n v="10527"/>
    <x v="48"/>
    <x v="0"/>
    <x v="4"/>
    <n v="687.68"/>
    <n v="2400.0032000000001"/>
    <x v="1"/>
    <x v="2"/>
    <x v="3"/>
    <x v="3"/>
  </r>
  <r>
    <n v="67"/>
    <n v="10532"/>
    <x v="44"/>
    <x v="0"/>
    <x v="4"/>
    <n v="687.68"/>
    <n v="2400.0032000000001"/>
    <x v="1"/>
    <x v="2"/>
    <x v="0"/>
    <x v="0"/>
  </r>
  <r>
    <n v="68"/>
    <n v="10652"/>
    <x v="14"/>
    <x v="0"/>
    <x v="4"/>
    <n v="687.68"/>
    <n v="2400.0032000000001"/>
    <x v="2"/>
    <x v="1"/>
    <x v="0"/>
    <x v="0"/>
  </r>
  <r>
    <n v="69"/>
    <n v="10657"/>
    <x v="12"/>
    <x v="0"/>
    <x v="4"/>
    <n v="687.68"/>
    <n v="2400.0032000000001"/>
    <x v="2"/>
    <x v="1"/>
    <x v="0"/>
    <x v="0"/>
  </r>
  <r>
    <n v="70"/>
    <n v="10636"/>
    <x v="25"/>
    <x v="2"/>
    <x v="3"/>
    <n v="221.11"/>
    <n v="2200.0445"/>
    <x v="2"/>
    <x v="1"/>
    <x v="0"/>
    <x v="0"/>
  </r>
  <r>
    <n v="71"/>
    <n v="10641"/>
    <x v="30"/>
    <x v="2"/>
    <x v="3"/>
    <n v="221.11"/>
    <n v="2200.0445"/>
    <x v="2"/>
    <x v="1"/>
    <x v="0"/>
    <x v="0"/>
  </r>
  <r>
    <n v="72"/>
    <n v="10646"/>
    <x v="20"/>
    <x v="2"/>
    <x v="3"/>
    <n v="221.11"/>
    <n v="2200.0445"/>
    <x v="2"/>
    <x v="2"/>
    <x v="0"/>
    <x v="0"/>
  </r>
  <r>
    <n v="73"/>
    <n v="10651"/>
    <x v="14"/>
    <x v="2"/>
    <x v="3"/>
    <n v="221.11"/>
    <n v="2200.0445"/>
    <x v="2"/>
    <x v="1"/>
    <x v="0"/>
    <x v="0"/>
  </r>
  <r>
    <n v="74"/>
    <n v="10656"/>
    <x v="12"/>
    <x v="2"/>
    <x v="3"/>
    <n v="221.11"/>
    <n v="2200.0445"/>
    <x v="2"/>
    <x v="1"/>
    <x v="0"/>
    <x v="0"/>
  </r>
  <r>
    <n v="75"/>
    <n v="10661"/>
    <x v="11"/>
    <x v="2"/>
    <x v="3"/>
    <n v="221.11"/>
    <n v="2200.0445"/>
    <x v="0"/>
    <x v="2"/>
    <x v="0"/>
    <x v="0"/>
  </r>
  <r>
    <n v="76"/>
    <n v="10666"/>
    <x v="9"/>
    <x v="2"/>
    <x v="3"/>
    <n v="221.11"/>
    <n v="2200.0445"/>
    <x v="0"/>
    <x v="2"/>
    <x v="0"/>
    <x v="0"/>
  </r>
  <r>
    <n v="77"/>
    <n v="10671"/>
    <x v="5"/>
    <x v="2"/>
    <x v="3"/>
    <n v="221.11"/>
    <n v="2200.0445"/>
    <x v="0"/>
    <x v="2"/>
    <x v="0"/>
    <x v="0"/>
  </r>
  <r>
    <n v="78"/>
    <n v="10453"/>
    <x v="52"/>
    <x v="3"/>
    <x v="5"/>
    <n v="745.76"/>
    <n v="2199.9920000000002"/>
    <x v="2"/>
    <x v="1"/>
    <x v="5"/>
    <x v="4"/>
  </r>
  <r>
    <n v="79"/>
    <n v="10523"/>
    <x v="40"/>
    <x v="3"/>
    <x v="5"/>
    <n v="745.76"/>
    <n v="2199.9920000000002"/>
    <x v="1"/>
    <x v="2"/>
    <x v="3"/>
    <x v="3"/>
  </r>
  <r>
    <n v="80"/>
    <n v="10528"/>
    <x v="48"/>
    <x v="3"/>
    <x v="5"/>
    <n v="745.76"/>
    <n v="2199.9920000000002"/>
    <x v="1"/>
    <x v="2"/>
    <x v="3"/>
    <x v="3"/>
  </r>
  <r>
    <n v="81"/>
    <n v="10533"/>
    <x v="44"/>
    <x v="3"/>
    <x v="5"/>
    <n v="745.76"/>
    <n v="2199.9920000000002"/>
    <x v="1"/>
    <x v="2"/>
    <x v="0"/>
    <x v="0"/>
  </r>
  <r>
    <n v="82"/>
    <n v="10543"/>
    <x v="49"/>
    <x v="3"/>
    <x v="5"/>
    <n v="745.76"/>
    <n v="2199.9920000000002"/>
    <x v="1"/>
    <x v="0"/>
    <x v="2"/>
    <x v="2"/>
  </r>
  <r>
    <n v="83"/>
    <n v="10548"/>
    <x v="51"/>
    <x v="3"/>
    <x v="5"/>
    <n v="745.76"/>
    <n v="2199.9920000000002"/>
    <x v="1"/>
    <x v="0"/>
    <x v="2"/>
    <x v="2"/>
  </r>
  <r>
    <n v="84"/>
    <n v="10553"/>
    <x v="50"/>
    <x v="3"/>
    <x v="5"/>
    <n v="745.76"/>
    <n v="2199.9920000000002"/>
    <x v="2"/>
    <x v="0"/>
    <x v="2"/>
    <x v="2"/>
  </r>
  <r>
    <n v="85"/>
    <n v="10538"/>
    <x v="45"/>
    <x v="3"/>
    <x v="5"/>
    <n v="745.76"/>
    <n v="2199.9920000000002"/>
    <x v="1"/>
    <x v="0"/>
    <x v="4"/>
    <x v="4"/>
  </r>
  <r>
    <n v="86"/>
    <n v="10623"/>
    <x v="13"/>
    <x v="3"/>
    <x v="5"/>
    <n v="745.76"/>
    <n v="2199.9920000000002"/>
    <x v="2"/>
    <x v="1"/>
    <x v="2"/>
    <x v="2"/>
  </r>
  <r>
    <n v="87"/>
    <n v="10648"/>
    <x v="20"/>
    <x v="3"/>
    <x v="5"/>
    <n v="745.76"/>
    <n v="2199.9920000000002"/>
    <x v="2"/>
    <x v="1"/>
    <x v="0"/>
    <x v="0"/>
  </r>
  <r>
    <n v="88"/>
    <n v="10653"/>
    <x v="14"/>
    <x v="3"/>
    <x v="5"/>
    <n v="745.76"/>
    <n v="2199.9920000000002"/>
    <x v="2"/>
    <x v="1"/>
    <x v="0"/>
    <x v="0"/>
  </r>
  <r>
    <n v="89"/>
    <n v="10658"/>
    <x v="12"/>
    <x v="3"/>
    <x v="5"/>
    <n v="745.76"/>
    <n v="2199.9920000000002"/>
    <x v="2"/>
    <x v="2"/>
    <x v="0"/>
    <x v="0"/>
  </r>
  <r>
    <n v="90"/>
    <n v="10663"/>
    <x v="11"/>
    <x v="3"/>
    <x v="5"/>
    <n v="745.76"/>
    <n v="2199.9920000000002"/>
    <x v="0"/>
    <x v="2"/>
    <x v="0"/>
    <x v="0"/>
  </r>
  <r>
    <n v="91"/>
    <n v="10668"/>
    <x v="9"/>
    <x v="3"/>
    <x v="5"/>
    <n v="745.76"/>
    <n v="2199.9920000000002"/>
    <x v="0"/>
    <x v="2"/>
    <x v="0"/>
    <x v="0"/>
  </r>
  <r>
    <n v="92"/>
    <n v="10673"/>
    <x v="5"/>
    <x v="3"/>
    <x v="5"/>
    <n v="745.76"/>
    <n v="2199.9920000000002"/>
    <x v="0"/>
    <x v="2"/>
    <x v="0"/>
    <x v="0"/>
  </r>
  <r>
    <n v="93"/>
    <n v="10678"/>
    <x v="6"/>
    <x v="3"/>
    <x v="5"/>
    <n v="745.76"/>
    <n v="2199.9920000000002"/>
    <x v="0"/>
    <x v="2"/>
    <x v="0"/>
    <x v="0"/>
  </r>
  <r>
    <n v="94"/>
    <n v="10472"/>
    <x v="23"/>
    <x v="0"/>
    <x v="4"/>
    <n v="630.37"/>
    <n v="2199.9913000000001"/>
    <x v="0"/>
    <x v="0"/>
    <x v="4"/>
    <x v="4"/>
  </r>
  <r>
    <n v="95"/>
    <n v="10477"/>
    <x v="31"/>
    <x v="0"/>
    <x v="4"/>
    <n v="630.37"/>
    <n v="2199.9913000000001"/>
    <x v="0"/>
    <x v="0"/>
    <x v="6"/>
    <x v="4"/>
  </r>
  <r>
    <n v="96"/>
    <n v="10487"/>
    <x v="33"/>
    <x v="0"/>
    <x v="4"/>
    <n v="630.37"/>
    <n v="2199.9913000000001"/>
    <x v="0"/>
    <x v="0"/>
    <x v="0"/>
    <x v="0"/>
  </r>
  <r>
    <n v="97"/>
    <n v="10502"/>
    <x v="32"/>
    <x v="0"/>
    <x v="4"/>
    <n v="630.37"/>
    <n v="2199.9913000000001"/>
    <x v="1"/>
    <x v="0"/>
    <x v="4"/>
    <x v="4"/>
  </r>
  <r>
    <n v="98"/>
    <n v="10542"/>
    <x v="49"/>
    <x v="0"/>
    <x v="4"/>
    <n v="630.37"/>
    <n v="2199.9913000000001"/>
    <x v="1"/>
    <x v="0"/>
    <x v="2"/>
    <x v="2"/>
  </r>
  <r>
    <n v="99"/>
    <n v="10547"/>
    <x v="51"/>
    <x v="0"/>
    <x v="4"/>
    <n v="630.37"/>
    <n v="2199.9913000000001"/>
    <x v="1"/>
    <x v="0"/>
    <x v="2"/>
    <x v="2"/>
  </r>
  <r>
    <n v="100"/>
    <n v="10552"/>
    <x v="50"/>
    <x v="0"/>
    <x v="4"/>
    <n v="630.37"/>
    <n v="2199.9913000000001"/>
    <x v="2"/>
    <x v="0"/>
    <x v="2"/>
    <x v="2"/>
  </r>
  <r>
    <n v="101"/>
    <n v="10557"/>
    <x v="46"/>
    <x v="0"/>
    <x v="4"/>
    <n v="630.37"/>
    <n v="2199.9913000000001"/>
    <x v="2"/>
    <x v="0"/>
    <x v="2"/>
    <x v="2"/>
  </r>
  <r>
    <n v="102"/>
    <n v="10562"/>
    <x v="47"/>
    <x v="0"/>
    <x v="4"/>
    <n v="630.37"/>
    <n v="2199.9913000000001"/>
    <x v="2"/>
    <x v="0"/>
    <x v="2"/>
    <x v="2"/>
  </r>
  <r>
    <n v="103"/>
    <n v="10567"/>
    <x v="41"/>
    <x v="0"/>
    <x v="4"/>
    <n v="630.37"/>
    <n v="2199.9913000000001"/>
    <x v="2"/>
    <x v="0"/>
    <x v="2"/>
    <x v="2"/>
  </r>
  <r>
    <n v="104"/>
    <n v="10577"/>
    <x v="34"/>
    <x v="0"/>
    <x v="4"/>
    <n v="630.37"/>
    <n v="2199.9913000000001"/>
    <x v="2"/>
    <x v="0"/>
    <x v="3"/>
    <x v="3"/>
  </r>
  <r>
    <n v="105"/>
    <n v="10582"/>
    <x v="35"/>
    <x v="0"/>
    <x v="4"/>
    <n v="630.37"/>
    <n v="2199.9913000000001"/>
    <x v="2"/>
    <x v="0"/>
    <x v="2"/>
    <x v="2"/>
  </r>
  <r>
    <n v="106"/>
    <n v="10537"/>
    <x v="45"/>
    <x v="0"/>
    <x v="4"/>
    <n v="630.37"/>
    <n v="2199.9913000000001"/>
    <x v="1"/>
    <x v="0"/>
    <x v="4"/>
    <x v="4"/>
  </r>
  <r>
    <n v="107"/>
    <n v="10602"/>
    <x v="36"/>
    <x v="0"/>
    <x v="4"/>
    <n v="630.37"/>
    <n v="2199.9913000000001"/>
    <x v="2"/>
    <x v="2"/>
    <x v="2"/>
    <x v="2"/>
  </r>
  <r>
    <n v="108"/>
    <n v="10607"/>
    <x v="29"/>
    <x v="0"/>
    <x v="4"/>
    <n v="630.37"/>
    <n v="2199.9913000000001"/>
    <x v="2"/>
    <x v="2"/>
    <x v="2"/>
    <x v="2"/>
  </r>
  <r>
    <n v="109"/>
    <n v="10612"/>
    <x v="16"/>
    <x v="0"/>
    <x v="4"/>
    <n v="630.37"/>
    <n v="2199.9913000000001"/>
    <x v="2"/>
    <x v="1"/>
    <x v="2"/>
    <x v="2"/>
  </r>
  <r>
    <n v="110"/>
    <n v="10617"/>
    <x v="17"/>
    <x v="0"/>
    <x v="4"/>
    <n v="630.37"/>
    <n v="2199.9913000000001"/>
    <x v="2"/>
    <x v="1"/>
    <x v="2"/>
    <x v="2"/>
  </r>
  <r>
    <n v="111"/>
    <n v="10622"/>
    <x v="13"/>
    <x v="0"/>
    <x v="4"/>
    <n v="630.37"/>
    <n v="2199.9913000000001"/>
    <x v="2"/>
    <x v="1"/>
    <x v="2"/>
    <x v="2"/>
  </r>
  <r>
    <n v="112"/>
    <n v="10627"/>
    <x v="18"/>
    <x v="0"/>
    <x v="4"/>
    <n v="630.37"/>
    <n v="2199.9913000000001"/>
    <x v="2"/>
    <x v="1"/>
    <x v="2"/>
    <x v="2"/>
  </r>
  <r>
    <n v="113"/>
    <n v="10632"/>
    <x v="19"/>
    <x v="0"/>
    <x v="4"/>
    <n v="630.37"/>
    <n v="2199.9913000000001"/>
    <x v="2"/>
    <x v="1"/>
    <x v="0"/>
    <x v="0"/>
  </r>
  <r>
    <n v="114"/>
    <n v="10637"/>
    <x v="25"/>
    <x v="0"/>
    <x v="4"/>
    <n v="630.37"/>
    <n v="2199.9913000000001"/>
    <x v="2"/>
    <x v="1"/>
    <x v="0"/>
    <x v="0"/>
  </r>
  <r>
    <n v="115"/>
    <n v="10642"/>
    <x v="30"/>
    <x v="0"/>
    <x v="4"/>
    <n v="630.37"/>
    <n v="2199.9913000000001"/>
    <x v="2"/>
    <x v="2"/>
    <x v="0"/>
    <x v="0"/>
  </r>
  <r>
    <n v="116"/>
    <n v="10647"/>
    <x v="20"/>
    <x v="0"/>
    <x v="4"/>
    <n v="630.37"/>
    <n v="2199.9913000000001"/>
    <x v="2"/>
    <x v="1"/>
    <x v="0"/>
    <x v="0"/>
  </r>
  <r>
    <n v="117"/>
    <n v="10662"/>
    <x v="11"/>
    <x v="0"/>
    <x v="4"/>
    <n v="630.37"/>
    <n v="2199.9913000000001"/>
    <x v="0"/>
    <x v="2"/>
    <x v="0"/>
    <x v="0"/>
  </r>
  <r>
    <n v="118"/>
    <n v="10667"/>
    <x v="9"/>
    <x v="0"/>
    <x v="4"/>
    <n v="630.37"/>
    <n v="2199.9913000000001"/>
    <x v="0"/>
    <x v="2"/>
    <x v="0"/>
    <x v="0"/>
  </r>
  <r>
    <n v="119"/>
    <n v="10672"/>
    <x v="5"/>
    <x v="0"/>
    <x v="4"/>
    <n v="630.37"/>
    <n v="2199.9913000000001"/>
    <x v="0"/>
    <x v="2"/>
    <x v="0"/>
    <x v="0"/>
  </r>
  <r>
    <n v="120"/>
    <n v="10677"/>
    <x v="6"/>
    <x v="0"/>
    <x v="4"/>
    <n v="630.37"/>
    <n v="2199.9913000000001"/>
    <x v="0"/>
    <x v="2"/>
    <x v="0"/>
    <x v="0"/>
  </r>
  <r>
    <n v="121"/>
    <n v="10682"/>
    <x v="10"/>
    <x v="0"/>
    <x v="4"/>
    <n v="630.37"/>
    <n v="2199.9913000000001"/>
    <x v="0"/>
    <x v="2"/>
    <x v="0"/>
    <x v="0"/>
  </r>
  <r>
    <n v="122"/>
    <n v="10687"/>
    <x v="7"/>
    <x v="0"/>
    <x v="4"/>
    <n v="630.37"/>
    <n v="2199.9913000000001"/>
    <x v="0"/>
    <x v="2"/>
    <x v="1"/>
    <x v="1"/>
  </r>
  <r>
    <n v="123"/>
    <n v="10692"/>
    <x v="8"/>
    <x v="0"/>
    <x v="4"/>
    <n v="630.37"/>
    <n v="2199.9913000000001"/>
    <x v="0"/>
    <x v="2"/>
    <x v="1"/>
    <x v="1"/>
  </r>
  <r>
    <n v="124"/>
    <n v="10697"/>
    <x v="3"/>
    <x v="0"/>
    <x v="4"/>
    <n v="630.37"/>
    <n v="2199.9913000000001"/>
    <x v="0"/>
    <x v="2"/>
    <x v="1"/>
    <x v="1"/>
  </r>
  <r>
    <n v="125"/>
    <n v="10702"/>
    <x v="4"/>
    <x v="0"/>
    <x v="4"/>
    <n v="630.37"/>
    <n v="2199.9913000000001"/>
    <x v="0"/>
    <x v="2"/>
    <x v="1"/>
    <x v="1"/>
  </r>
  <r>
    <n v="126"/>
    <n v="10707"/>
    <x v="2"/>
    <x v="0"/>
    <x v="4"/>
    <n v="630.37"/>
    <n v="2199.9913000000001"/>
    <x v="1"/>
    <x v="1"/>
    <x v="1"/>
    <x v="1"/>
  </r>
  <r>
    <n v="127"/>
    <n v="10712"/>
    <x v="1"/>
    <x v="0"/>
    <x v="4"/>
    <n v="630.37"/>
    <n v="2199.9913000000001"/>
    <x v="1"/>
    <x v="1"/>
    <x v="1"/>
    <x v="1"/>
  </r>
  <r>
    <n v="128"/>
    <n v="10456"/>
    <x v="15"/>
    <x v="2"/>
    <x v="3"/>
    <n v="201.01"/>
    <n v="2000.0494999999999"/>
    <x v="0"/>
    <x v="0"/>
    <x v="1"/>
    <x v="1"/>
  </r>
  <r>
    <n v="129"/>
    <n v="10461"/>
    <x v="21"/>
    <x v="2"/>
    <x v="3"/>
    <n v="201.01"/>
    <n v="2000.0494999999999"/>
    <x v="0"/>
    <x v="0"/>
    <x v="3"/>
    <x v="3"/>
  </r>
  <r>
    <n v="130"/>
    <n v="10466"/>
    <x v="22"/>
    <x v="2"/>
    <x v="3"/>
    <n v="201.01"/>
    <n v="2000.0494999999999"/>
    <x v="0"/>
    <x v="0"/>
    <x v="4"/>
    <x v="4"/>
  </r>
  <r>
    <n v="131"/>
    <n v="10471"/>
    <x v="23"/>
    <x v="2"/>
    <x v="3"/>
    <n v="201.01"/>
    <n v="2000.0494999999999"/>
    <x v="0"/>
    <x v="0"/>
    <x v="4"/>
    <x v="4"/>
  </r>
  <r>
    <n v="132"/>
    <n v="10476"/>
    <x v="31"/>
    <x v="2"/>
    <x v="3"/>
    <n v="201.01"/>
    <n v="2000.0494999999999"/>
    <x v="0"/>
    <x v="0"/>
    <x v="4"/>
    <x v="4"/>
  </r>
  <r>
    <n v="133"/>
    <n v="10481"/>
    <x v="0"/>
    <x v="2"/>
    <x v="3"/>
    <n v="201.01"/>
    <n v="2000.0494999999999"/>
    <x v="0"/>
    <x v="0"/>
    <x v="4"/>
    <x v="4"/>
  </r>
  <r>
    <n v="134"/>
    <n v="10491"/>
    <x v="37"/>
    <x v="2"/>
    <x v="3"/>
    <n v="201.01"/>
    <n v="2000.0494999999999"/>
    <x v="0"/>
    <x v="0"/>
    <x v="4"/>
    <x v="4"/>
  </r>
  <r>
    <n v="135"/>
    <n v="10496"/>
    <x v="38"/>
    <x v="2"/>
    <x v="3"/>
    <n v="201.01"/>
    <n v="2000.0494999999999"/>
    <x v="0"/>
    <x v="0"/>
    <x v="4"/>
    <x v="4"/>
  </r>
  <r>
    <n v="136"/>
    <n v="10501"/>
    <x v="32"/>
    <x v="2"/>
    <x v="3"/>
    <n v="201.01"/>
    <n v="2000.0494999999999"/>
    <x v="1"/>
    <x v="0"/>
    <x v="4"/>
    <x v="4"/>
  </r>
  <r>
    <n v="137"/>
    <n v="10506"/>
    <x v="26"/>
    <x v="2"/>
    <x v="3"/>
    <n v="201.01"/>
    <n v="2000.0494999999999"/>
    <x v="1"/>
    <x v="0"/>
    <x v="4"/>
    <x v="4"/>
  </r>
  <r>
    <n v="138"/>
    <n v="10511"/>
    <x v="39"/>
    <x v="2"/>
    <x v="3"/>
    <n v="201.01"/>
    <n v="2000.0494999999999"/>
    <x v="1"/>
    <x v="0"/>
    <x v="0"/>
    <x v="0"/>
  </r>
  <r>
    <n v="139"/>
    <n v="10516"/>
    <x v="43"/>
    <x v="2"/>
    <x v="3"/>
    <n v="201.01"/>
    <n v="2000.0494999999999"/>
    <x v="1"/>
    <x v="2"/>
    <x v="0"/>
    <x v="0"/>
  </r>
  <r>
    <n v="140"/>
    <n v="10521"/>
    <x v="40"/>
    <x v="2"/>
    <x v="3"/>
    <n v="201.01"/>
    <n v="2000.0494999999999"/>
    <x v="1"/>
    <x v="2"/>
    <x v="3"/>
    <x v="3"/>
  </r>
  <r>
    <n v="141"/>
    <n v="10526"/>
    <x v="48"/>
    <x v="2"/>
    <x v="3"/>
    <n v="201.01"/>
    <n v="2000.0494999999999"/>
    <x v="1"/>
    <x v="2"/>
    <x v="3"/>
    <x v="3"/>
  </r>
  <r>
    <n v="142"/>
    <n v="10531"/>
    <x v="44"/>
    <x v="2"/>
    <x v="3"/>
    <n v="201.01"/>
    <n v="2000.0494999999999"/>
    <x v="1"/>
    <x v="2"/>
    <x v="3"/>
    <x v="3"/>
  </r>
  <r>
    <n v="143"/>
    <n v="10536"/>
    <x v="45"/>
    <x v="2"/>
    <x v="3"/>
    <n v="201.01"/>
    <n v="2000.0494999999999"/>
    <x v="1"/>
    <x v="0"/>
    <x v="4"/>
    <x v="4"/>
  </r>
  <r>
    <n v="144"/>
    <n v="10541"/>
    <x v="49"/>
    <x v="2"/>
    <x v="3"/>
    <n v="201.01"/>
    <n v="2000.0494999999999"/>
    <x v="1"/>
    <x v="0"/>
    <x v="2"/>
    <x v="2"/>
  </r>
  <r>
    <n v="145"/>
    <n v="10546"/>
    <x v="51"/>
    <x v="2"/>
    <x v="3"/>
    <n v="201.01"/>
    <n v="2000.0494999999999"/>
    <x v="1"/>
    <x v="0"/>
    <x v="2"/>
    <x v="2"/>
  </r>
  <r>
    <n v="146"/>
    <n v="10551"/>
    <x v="50"/>
    <x v="2"/>
    <x v="3"/>
    <n v="201.01"/>
    <n v="2000.0494999999999"/>
    <x v="1"/>
    <x v="0"/>
    <x v="2"/>
    <x v="2"/>
  </r>
  <r>
    <n v="147"/>
    <n v="10556"/>
    <x v="46"/>
    <x v="2"/>
    <x v="3"/>
    <n v="201.01"/>
    <n v="2000.0494999999999"/>
    <x v="2"/>
    <x v="0"/>
    <x v="2"/>
    <x v="2"/>
  </r>
  <r>
    <n v="148"/>
    <n v="10561"/>
    <x v="47"/>
    <x v="2"/>
    <x v="3"/>
    <n v="201.01"/>
    <n v="2000.0494999999999"/>
    <x v="2"/>
    <x v="0"/>
    <x v="2"/>
    <x v="2"/>
  </r>
  <r>
    <n v="149"/>
    <n v="10566"/>
    <x v="41"/>
    <x v="2"/>
    <x v="3"/>
    <n v="201.01"/>
    <n v="2000.0494999999999"/>
    <x v="2"/>
    <x v="0"/>
    <x v="2"/>
    <x v="2"/>
  </r>
  <r>
    <n v="150"/>
    <n v="10571"/>
    <x v="42"/>
    <x v="2"/>
    <x v="3"/>
    <n v="201.01"/>
    <n v="2000.0494999999999"/>
    <x v="2"/>
    <x v="0"/>
    <x v="2"/>
    <x v="2"/>
  </r>
  <r>
    <n v="151"/>
    <n v="10576"/>
    <x v="34"/>
    <x v="2"/>
    <x v="3"/>
    <n v="201.01"/>
    <n v="2000.0494999999999"/>
    <x v="2"/>
    <x v="0"/>
    <x v="3"/>
    <x v="3"/>
  </r>
  <r>
    <n v="152"/>
    <n v="10581"/>
    <x v="35"/>
    <x v="2"/>
    <x v="3"/>
    <n v="201.01"/>
    <n v="2000.0494999999999"/>
    <x v="2"/>
    <x v="0"/>
    <x v="3"/>
    <x v="3"/>
  </r>
  <r>
    <n v="153"/>
    <n v="10586"/>
    <x v="27"/>
    <x v="2"/>
    <x v="3"/>
    <n v="201.01"/>
    <n v="2000.0494999999999"/>
    <x v="2"/>
    <x v="0"/>
    <x v="2"/>
    <x v="2"/>
  </r>
  <r>
    <n v="154"/>
    <n v="10591"/>
    <x v="24"/>
    <x v="2"/>
    <x v="3"/>
    <n v="201.01"/>
    <n v="2000.0494999999999"/>
    <x v="2"/>
    <x v="0"/>
    <x v="2"/>
    <x v="2"/>
  </r>
  <r>
    <n v="155"/>
    <n v="10596"/>
    <x v="28"/>
    <x v="2"/>
    <x v="3"/>
    <n v="201.01"/>
    <n v="2000.0494999999999"/>
    <x v="2"/>
    <x v="0"/>
    <x v="2"/>
    <x v="2"/>
  </r>
  <r>
    <n v="156"/>
    <n v="10601"/>
    <x v="36"/>
    <x v="2"/>
    <x v="3"/>
    <n v="201.01"/>
    <n v="2000.0494999999999"/>
    <x v="2"/>
    <x v="0"/>
    <x v="2"/>
    <x v="2"/>
  </r>
  <r>
    <n v="157"/>
    <n v="10606"/>
    <x v="29"/>
    <x v="2"/>
    <x v="3"/>
    <n v="201.01"/>
    <n v="2000.0494999999999"/>
    <x v="2"/>
    <x v="2"/>
    <x v="2"/>
    <x v="2"/>
  </r>
  <r>
    <n v="158"/>
    <n v="10611"/>
    <x v="16"/>
    <x v="2"/>
    <x v="3"/>
    <n v="201.01"/>
    <n v="2000.0494999999999"/>
    <x v="2"/>
    <x v="1"/>
    <x v="2"/>
    <x v="2"/>
  </r>
  <r>
    <n v="159"/>
    <n v="10616"/>
    <x v="17"/>
    <x v="2"/>
    <x v="3"/>
    <n v="201.01"/>
    <n v="2000.0494999999999"/>
    <x v="2"/>
    <x v="1"/>
    <x v="2"/>
    <x v="2"/>
  </r>
  <r>
    <n v="160"/>
    <n v="10621"/>
    <x v="13"/>
    <x v="2"/>
    <x v="3"/>
    <n v="201.01"/>
    <n v="2000.0494999999999"/>
    <x v="2"/>
    <x v="1"/>
    <x v="2"/>
    <x v="2"/>
  </r>
  <r>
    <n v="161"/>
    <n v="10626"/>
    <x v="18"/>
    <x v="2"/>
    <x v="3"/>
    <n v="201.01"/>
    <n v="2000.0494999999999"/>
    <x v="2"/>
    <x v="1"/>
    <x v="2"/>
    <x v="2"/>
  </r>
  <r>
    <n v="162"/>
    <n v="10631"/>
    <x v="19"/>
    <x v="2"/>
    <x v="3"/>
    <n v="201.01"/>
    <n v="2000.0494999999999"/>
    <x v="2"/>
    <x v="1"/>
    <x v="0"/>
    <x v="0"/>
  </r>
  <r>
    <n v="163"/>
    <n v="10452"/>
    <x v="52"/>
    <x v="0"/>
    <x v="4"/>
    <n v="573.07000000000005"/>
    <n v="2000.0143000000003"/>
    <x v="2"/>
    <x v="1"/>
    <x v="2"/>
    <x v="2"/>
  </r>
  <r>
    <n v="164"/>
    <n v="10457"/>
    <x v="15"/>
    <x v="0"/>
    <x v="4"/>
    <n v="573.07000000000005"/>
    <n v="2000.0143000000003"/>
    <x v="0"/>
    <x v="0"/>
    <x v="3"/>
    <x v="3"/>
  </r>
  <r>
    <n v="165"/>
    <n v="10462"/>
    <x v="21"/>
    <x v="0"/>
    <x v="4"/>
    <n v="573.07000000000005"/>
    <n v="2000.0143000000003"/>
    <x v="0"/>
    <x v="0"/>
    <x v="7"/>
    <x v="3"/>
  </r>
  <r>
    <n v="166"/>
    <n v="10467"/>
    <x v="22"/>
    <x v="0"/>
    <x v="4"/>
    <n v="573.07000000000005"/>
    <n v="2000.0143000000003"/>
    <x v="0"/>
    <x v="0"/>
    <x v="4"/>
    <x v="4"/>
  </r>
  <r>
    <n v="167"/>
    <n v="10492"/>
    <x v="37"/>
    <x v="0"/>
    <x v="4"/>
    <n v="573.07000000000005"/>
    <n v="2000.0143000000003"/>
    <x v="0"/>
    <x v="0"/>
    <x v="4"/>
    <x v="4"/>
  </r>
  <r>
    <n v="168"/>
    <n v="10497"/>
    <x v="38"/>
    <x v="0"/>
    <x v="4"/>
    <n v="573.07000000000005"/>
    <n v="2000.0143000000003"/>
    <x v="0"/>
    <x v="0"/>
    <x v="4"/>
    <x v="4"/>
  </r>
  <r>
    <n v="169"/>
    <n v="10572"/>
    <x v="42"/>
    <x v="0"/>
    <x v="4"/>
    <n v="573.07000000000005"/>
    <n v="2000.0143000000003"/>
    <x v="2"/>
    <x v="0"/>
    <x v="3"/>
    <x v="3"/>
  </r>
  <r>
    <n v="170"/>
    <n v="10592"/>
    <x v="24"/>
    <x v="0"/>
    <x v="4"/>
    <n v="573.07000000000005"/>
    <n v="2000.0143000000003"/>
    <x v="2"/>
    <x v="0"/>
    <x v="2"/>
    <x v="2"/>
  </r>
  <r>
    <n v="171"/>
    <n v="10597"/>
    <x v="28"/>
    <x v="0"/>
    <x v="4"/>
    <n v="573.07000000000005"/>
    <n v="2000.0143000000003"/>
    <x v="2"/>
    <x v="0"/>
    <x v="2"/>
    <x v="2"/>
  </r>
  <r>
    <n v="172"/>
    <n v="10463"/>
    <x v="21"/>
    <x v="3"/>
    <x v="5"/>
    <n v="677.97"/>
    <n v="2000.0115000000003"/>
    <x v="0"/>
    <x v="0"/>
    <x v="7"/>
    <x v="3"/>
  </r>
  <r>
    <n v="173"/>
    <n v="10468"/>
    <x v="22"/>
    <x v="3"/>
    <x v="5"/>
    <n v="677.97"/>
    <n v="2000.0115000000003"/>
    <x v="0"/>
    <x v="0"/>
    <x v="4"/>
    <x v="4"/>
  </r>
  <r>
    <n v="174"/>
    <n v="10473"/>
    <x v="23"/>
    <x v="3"/>
    <x v="5"/>
    <n v="677.97"/>
    <n v="2000.0115000000003"/>
    <x v="0"/>
    <x v="0"/>
    <x v="4"/>
    <x v="4"/>
  </r>
  <r>
    <n v="175"/>
    <n v="10478"/>
    <x v="31"/>
    <x v="3"/>
    <x v="5"/>
    <n v="677.97"/>
    <n v="2000.0115000000003"/>
    <x v="0"/>
    <x v="0"/>
    <x v="4"/>
    <x v="4"/>
  </r>
  <r>
    <n v="176"/>
    <n v="10488"/>
    <x v="33"/>
    <x v="3"/>
    <x v="5"/>
    <n v="677.97"/>
    <n v="2000.0115000000003"/>
    <x v="0"/>
    <x v="0"/>
    <x v="0"/>
    <x v="0"/>
  </r>
  <r>
    <n v="177"/>
    <n v="10493"/>
    <x v="37"/>
    <x v="3"/>
    <x v="5"/>
    <n v="677.97"/>
    <n v="2000.0115000000003"/>
    <x v="0"/>
    <x v="0"/>
    <x v="4"/>
    <x v="4"/>
  </r>
  <r>
    <n v="178"/>
    <n v="10498"/>
    <x v="38"/>
    <x v="3"/>
    <x v="5"/>
    <n v="677.97"/>
    <n v="2000.0115000000003"/>
    <x v="1"/>
    <x v="0"/>
    <x v="4"/>
    <x v="4"/>
  </r>
  <r>
    <n v="179"/>
    <n v="10503"/>
    <x v="32"/>
    <x v="3"/>
    <x v="5"/>
    <n v="677.97"/>
    <n v="2000.0115000000003"/>
    <x v="1"/>
    <x v="0"/>
    <x v="4"/>
    <x v="4"/>
  </r>
  <r>
    <n v="180"/>
    <n v="10508"/>
    <x v="26"/>
    <x v="3"/>
    <x v="5"/>
    <n v="677.97"/>
    <n v="2000.0115000000003"/>
    <x v="1"/>
    <x v="0"/>
    <x v="4"/>
    <x v="4"/>
  </r>
  <r>
    <n v="181"/>
    <n v="10513"/>
    <x v="39"/>
    <x v="3"/>
    <x v="5"/>
    <n v="677.97"/>
    <n v="2000.0115000000003"/>
    <x v="1"/>
    <x v="2"/>
    <x v="0"/>
    <x v="0"/>
  </r>
  <r>
    <n v="182"/>
    <n v="10483"/>
    <x v="0"/>
    <x v="3"/>
    <x v="5"/>
    <n v="677.97"/>
    <n v="2000.0115000000003"/>
    <x v="0"/>
    <x v="0"/>
    <x v="8"/>
    <x v="0"/>
  </r>
  <r>
    <n v="183"/>
    <n v="10558"/>
    <x v="46"/>
    <x v="3"/>
    <x v="5"/>
    <n v="677.97"/>
    <n v="2000.0115000000003"/>
    <x v="2"/>
    <x v="0"/>
    <x v="2"/>
    <x v="2"/>
  </r>
  <r>
    <n v="184"/>
    <n v="10563"/>
    <x v="47"/>
    <x v="3"/>
    <x v="5"/>
    <n v="677.97"/>
    <n v="2000.0115000000003"/>
    <x v="2"/>
    <x v="0"/>
    <x v="2"/>
    <x v="2"/>
  </r>
  <r>
    <n v="185"/>
    <n v="10568"/>
    <x v="41"/>
    <x v="3"/>
    <x v="5"/>
    <n v="677.97"/>
    <n v="2000.0115000000003"/>
    <x v="2"/>
    <x v="0"/>
    <x v="2"/>
    <x v="2"/>
  </r>
  <r>
    <n v="186"/>
    <n v="10573"/>
    <x v="42"/>
    <x v="3"/>
    <x v="5"/>
    <n v="677.97"/>
    <n v="2000.0115000000003"/>
    <x v="2"/>
    <x v="0"/>
    <x v="3"/>
    <x v="3"/>
  </r>
  <r>
    <n v="187"/>
    <n v="10578"/>
    <x v="34"/>
    <x v="3"/>
    <x v="5"/>
    <n v="677.97"/>
    <n v="2000.0115000000003"/>
    <x v="2"/>
    <x v="0"/>
    <x v="3"/>
    <x v="3"/>
  </r>
  <r>
    <n v="188"/>
    <n v="10583"/>
    <x v="35"/>
    <x v="3"/>
    <x v="5"/>
    <n v="677.97"/>
    <n v="2000.0115000000003"/>
    <x v="2"/>
    <x v="0"/>
    <x v="2"/>
    <x v="2"/>
  </r>
  <r>
    <n v="189"/>
    <n v="10593"/>
    <x v="24"/>
    <x v="3"/>
    <x v="5"/>
    <n v="677.97"/>
    <n v="2000.0115000000003"/>
    <x v="2"/>
    <x v="0"/>
    <x v="2"/>
    <x v="2"/>
  </r>
  <r>
    <n v="190"/>
    <n v="10598"/>
    <x v="28"/>
    <x v="3"/>
    <x v="5"/>
    <n v="677.97"/>
    <n v="2000.0115000000003"/>
    <x v="2"/>
    <x v="0"/>
    <x v="2"/>
    <x v="2"/>
  </r>
  <r>
    <n v="191"/>
    <n v="10603"/>
    <x v="36"/>
    <x v="3"/>
    <x v="5"/>
    <n v="677.97"/>
    <n v="2000.0115000000003"/>
    <x v="2"/>
    <x v="2"/>
    <x v="2"/>
    <x v="2"/>
  </r>
  <r>
    <n v="192"/>
    <n v="10608"/>
    <x v="29"/>
    <x v="3"/>
    <x v="5"/>
    <n v="677.97"/>
    <n v="2000.0115000000003"/>
    <x v="2"/>
    <x v="1"/>
    <x v="2"/>
    <x v="2"/>
  </r>
  <r>
    <n v="193"/>
    <n v="10613"/>
    <x v="16"/>
    <x v="3"/>
    <x v="5"/>
    <n v="677.97"/>
    <n v="2000.0115000000003"/>
    <x v="2"/>
    <x v="1"/>
    <x v="2"/>
    <x v="2"/>
  </r>
  <r>
    <n v="194"/>
    <n v="10618"/>
    <x v="17"/>
    <x v="3"/>
    <x v="5"/>
    <n v="677.97"/>
    <n v="2000.0115000000003"/>
    <x v="2"/>
    <x v="1"/>
    <x v="2"/>
    <x v="2"/>
  </r>
  <r>
    <n v="195"/>
    <n v="10628"/>
    <x v="18"/>
    <x v="3"/>
    <x v="5"/>
    <n v="677.97"/>
    <n v="2000.0115000000003"/>
    <x v="2"/>
    <x v="1"/>
    <x v="0"/>
    <x v="0"/>
  </r>
  <r>
    <n v="196"/>
    <n v="10633"/>
    <x v="19"/>
    <x v="3"/>
    <x v="5"/>
    <n v="677.97"/>
    <n v="2000.0115000000003"/>
    <x v="2"/>
    <x v="1"/>
    <x v="0"/>
    <x v="0"/>
  </r>
  <r>
    <n v="197"/>
    <n v="10638"/>
    <x v="25"/>
    <x v="3"/>
    <x v="5"/>
    <n v="677.97"/>
    <n v="2000.0115000000003"/>
    <x v="2"/>
    <x v="1"/>
    <x v="0"/>
    <x v="0"/>
  </r>
  <r>
    <n v="198"/>
    <n v="10643"/>
    <x v="30"/>
    <x v="3"/>
    <x v="5"/>
    <n v="677.97"/>
    <n v="2000.0115000000003"/>
    <x v="2"/>
    <x v="2"/>
    <x v="0"/>
    <x v="0"/>
  </r>
  <r>
    <n v="199"/>
    <n v="10683"/>
    <x v="10"/>
    <x v="3"/>
    <x v="5"/>
    <n v="677.97"/>
    <n v="2000.0115000000003"/>
    <x v="0"/>
    <x v="2"/>
    <x v="0"/>
    <x v="0"/>
  </r>
  <r>
    <n v="200"/>
    <n v="10688"/>
    <x v="7"/>
    <x v="3"/>
    <x v="5"/>
    <n v="677.97"/>
    <n v="2000.0115000000003"/>
    <x v="0"/>
    <x v="2"/>
    <x v="1"/>
    <x v="1"/>
  </r>
  <r>
    <n v="201"/>
    <n v="10693"/>
    <x v="8"/>
    <x v="3"/>
    <x v="5"/>
    <n v="677.97"/>
    <n v="2000.0115000000003"/>
    <x v="0"/>
    <x v="2"/>
    <x v="1"/>
    <x v="1"/>
  </r>
  <r>
    <n v="202"/>
    <n v="10698"/>
    <x v="3"/>
    <x v="3"/>
    <x v="5"/>
    <n v="677.97"/>
    <n v="2000.0115000000003"/>
    <x v="0"/>
    <x v="2"/>
    <x v="1"/>
    <x v="1"/>
  </r>
  <r>
    <n v="203"/>
    <n v="10703"/>
    <x v="4"/>
    <x v="3"/>
    <x v="5"/>
    <n v="677.97"/>
    <n v="2000.0115000000003"/>
    <x v="0"/>
    <x v="1"/>
    <x v="1"/>
    <x v="1"/>
  </r>
  <r>
    <n v="204"/>
    <n v="10708"/>
    <x v="2"/>
    <x v="3"/>
    <x v="5"/>
    <n v="677.97"/>
    <n v="2000.0115000000003"/>
    <x v="1"/>
    <x v="1"/>
    <x v="1"/>
    <x v="1"/>
  </r>
  <r>
    <n v="205"/>
    <n v="10713"/>
    <x v="1"/>
    <x v="3"/>
    <x v="5"/>
    <n v="677.97"/>
    <n v="2000.0115000000003"/>
    <x v="1"/>
    <x v="1"/>
    <x v="1"/>
    <x v="1"/>
  </r>
  <r>
    <n v="206"/>
    <n v="10454"/>
    <x v="52"/>
    <x v="4"/>
    <x v="6"/>
    <n v="200.4"/>
    <n v="999.99600000000009"/>
    <x v="0"/>
    <x v="1"/>
    <x v="0"/>
    <x v="0"/>
  </r>
  <r>
    <n v="207"/>
    <n v="10459"/>
    <x v="15"/>
    <x v="4"/>
    <x v="6"/>
    <n v="200.4"/>
    <n v="999.99600000000009"/>
    <x v="0"/>
    <x v="0"/>
    <x v="1"/>
    <x v="1"/>
  </r>
  <r>
    <n v="208"/>
    <n v="10464"/>
    <x v="21"/>
    <x v="4"/>
    <x v="6"/>
    <n v="200.4"/>
    <n v="999.99600000000009"/>
    <x v="0"/>
    <x v="0"/>
    <x v="3"/>
    <x v="3"/>
  </r>
  <r>
    <n v="209"/>
    <n v="10474"/>
    <x v="23"/>
    <x v="4"/>
    <x v="6"/>
    <n v="200.4"/>
    <n v="999.99600000000009"/>
    <x v="0"/>
    <x v="0"/>
    <x v="4"/>
    <x v="4"/>
  </r>
  <r>
    <n v="210"/>
    <n v="10479"/>
    <x v="31"/>
    <x v="4"/>
    <x v="6"/>
    <n v="200.4"/>
    <n v="999.99600000000009"/>
    <x v="0"/>
    <x v="0"/>
    <x v="4"/>
    <x v="4"/>
  </r>
  <r>
    <n v="211"/>
    <n v="10489"/>
    <x v="33"/>
    <x v="4"/>
    <x v="6"/>
    <n v="200.4"/>
    <n v="999.99600000000009"/>
    <x v="0"/>
    <x v="0"/>
    <x v="4"/>
    <x v="4"/>
  </r>
  <r>
    <n v="212"/>
    <n v="10494"/>
    <x v="37"/>
    <x v="4"/>
    <x v="6"/>
    <n v="200.4"/>
    <n v="999.99600000000009"/>
    <x v="0"/>
    <x v="0"/>
    <x v="4"/>
    <x v="4"/>
  </r>
  <r>
    <n v="213"/>
    <n v="10499"/>
    <x v="38"/>
    <x v="4"/>
    <x v="6"/>
    <n v="200.4"/>
    <n v="999.99600000000009"/>
    <x v="1"/>
    <x v="0"/>
    <x v="4"/>
    <x v="4"/>
  </r>
  <r>
    <n v="214"/>
    <n v="10504"/>
    <x v="32"/>
    <x v="4"/>
    <x v="6"/>
    <n v="200.4"/>
    <n v="999.99600000000009"/>
    <x v="1"/>
    <x v="0"/>
    <x v="4"/>
    <x v="4"/>
  </r>
  <r>
    <n v="215"/>
    <n v="10509"/>
    <x v="26"/>
    <x v="4"/>
    <x v="6"/>
    <n v="200.4"/>
    <n v="999.99600000000009"/>
    <x v="1"/>
    <x v="0"/>
    <x v="4"/>
    <x v="4"/>
  </r>
  <r>
    <n v="216"/>
    <n v="10514"/>
    <x v="39"/>
    <x v="4"/>
    <x v="6"/>
    <n v="200.4"/>
    <n v="999.99600000000009"/>
    <x v="1"/>
    <x v="2"/>
    <x v="0"/>
    <x v="0"/>
  </r>
  <r>
    <n v="217"/>
    <n v="10484"/>
    <x v="0"/>
    <x v="4"/>
    <x v="6"/>
    <n v="200.4"/>
    <n v="999.99600000000009"/>
    <x v="0"/>
    <x v="0"/>
    <x v="0"/>
    <x v="0"/>
  </r>
  <r>
    <n v="218"/>
    <n v="10524"/>
    <x v="40"/>
    <x v="4"/>
    <x v="6"/>
    <n v="200.4"/>
    <n v="999.99600000000009"/>
    <x v="1"/>
    <x v="2"/>
    <x v="3"/>
    <x v="3"/>
  </r>
  <r>
    <n v="219"/>
    <n v="10529"/>
    <x v="48"/>
    <x v="4"/>
    <x v="6"/>
    <n v="200.4"/>
    <n v="999.99600000000009"/>
    <x v="1"/>
    <x v="2"/>
    <x v="3"/>
    <x v="3"/>
  </r>
  <r>
    <n v="220"/>
    <n v="10534"/>
    <x v="44"/>
    <x v="4"/>
    <x v="6"/>
    <n v="200.4"/>
    <n v="999.99600000000009"/>
    <x v="1"/>
    <x v="2"/>
    <x v="4"/>
    <x v="4"/>
  </r>
  <r>
    <n v="221"/>
    <n v="10544"/>
    <x v="49"/>
    <x v="4"/>
    <x v="6"/>
    <n v="200.4"/>
    <n v="999.99600000000009"/>
    <x v="1"/>
    <x v="0"/>
    <x v="2"/>
    <x v="2"/>
  </r>
  <r>
    <n v="222"/>
    <n v="10549"/>
    <x v="51"/>
    <x v="4"/>
    <x v="6"/>
    <n v="200.4"/>
    <n v="999.99600000000009"/>
    <x v="1"/>
    <x v="0"/>
    <x v="2"/>
    <x v="2"/>
  </r>
  <r>
    <n v="223"/>
    <n v="10554"/>
    <x v="50"/>
    <x v="4"/>
    <x v="6"/>
    <n v="200.4"/>
    <n v="999.99600000000009"/>
    <x v="2"/>
    <x v="0"/>
    <x v="2"/>
    <x v="2"/>
  </r>
  <r>
    <n v="224"/>
    <n v="10559"/>
    <x v="46"/>
    <x v="4"/>
    <x v="6"/>
    <n v="200.4"/>
    <n v="999.99600000000009"/>
    <x v="2"/>
    <x v="0"/>
    <x v="2"/>
    <x v="2"/>
  </r>
  <r>
    <n v="225"/>
    <n v="10564"/>
    <x v="47"/>
    <x v="4"/>
    <x v="6"/>
    <n v="200.4"/>
    <n v="999.99600000000009"/>
    <x v="2"/>
    <x v="0"/>
    <x v="2"/>
    <x v="2"/>
  </r>
  <r>
    <n v="226"/>
    <n v="10569"/>
    <x v="41"/>
    <x v="4"/>
    <x v="6"/>
    <n v="200.4"/>
    <n v="999.99600000000009"/>
    <x v="2"/>
    <x v="0"/>
    <x v="2"/>
    <x v="2"/>
  </r>
  <r>
    <n v="227"/>
    <n v="10574"/>
    <x v="42"/>
    <x v="4"/>
    <x v="6"/>
    <n v="200.4"/>
    <n v="999.99600000000009"/>
    <x v="2"/>
    <x v="0"/>
    <x v="3"/>
    <x v="3"/>
  </r>
  <r>
    <n v="228"/>
    <n v="10579"/>
    <x v="34"/>
    <x v="4"/>
    <x v="6"/>
    <n v="200.4"/>
    <n v="999.99600000000009"/>
    <x v="2"/>
    <x v="0"/>
    <x v="3"/>
    <x v="3"/>
  </r>
  <r>
    <n v="229"/>
    <n v="10584"/>
    <x v="35"/>
    <x v="4"/>
    <x v="6"/>
    <n v="200.4"/>
    <n v="999.99600000000009"/>
    <x v="2"/>
    <x v="0"/>
    <x v="2"/>
    <x v="2"/>
  </r>
  <r>
    <n v="230"/>
    <n v="10539"/>
    <x v="45"/>
    <x v="4"/>
    <x v="6"/>
    <n v="200.4"/>
    <n v="999.99600000000009"/>
    <x v="1"/>
    <x v="0"/>
    <x v="4"/>
    <x v="4"/>
  </r>
  <r>
    <n v="231"/>
    <n v="10594"/>
    <x v="24"/>
    <x v="4"/>
    <x v="6"/>
    <n v="200.4"/>
    <n v="999.99600000000009"/>
    <x v="2"/>
    <x v="0"/>
    <x v="2"/>
    <x v="2"/>
  </r>
  <r>
    <n v="232"/>
    <n v="10599"/>
    <x v="28"/>
    <x v="4"/>
    <x v="6"/>
    <n v="200.4"/>
    <n v="999.99600000000009"/>
    <x v="2"/>
    <x v="0"/>
    <x v="2"/>
    <x v="2"/>
  </r>
  <r>
    <n v="233"/>
    <n v="10604"/>
    <x v="36"/>
    <x v="4"/>
    <x v="6"/>
    <n v="200.4"/>
    <n v="999.99600000000009"/>
    <x v="2"/>
    <x v="2"/>
    <x v="2"/>
    <x v="2"/>
  </r>
  <r>
    <n v="234"/>
    <n v="10609"/>
    <x v="29"/>
    <x v="4"/>
    <x v="6"/>
    <n v="200.4"/>
    <n v="999.99600000000009"/>
    <x v="2"/>
    <x v="1"/>
    <x v="2"/>
    <x v="2"/>
  </r>
  <r>
    <n v="235"/>
    <n v="10614"/>
    <x v="16"/>
    <x v="4"/>
    <x v="6"/>
    <n v="200.4"/>
    <n v="999.99600000000009"/>
    <x v="2"/>
    <x v="1"/>
    <x v="2"/>
    <x v="2"/>
  </r>
  <r>
    <n v="236"/>
    <n v="10619"/>
    <x v="17"/>
    <x v="4"/>
    <x v="6"/>
    <n v="200.4"/>
    <n v="999.99600000000009"/>
    <x v="2"/>
    <x v="1"/>
    <x v="2"/>
    <x v="2"/>
  </r>
  <r>
    <n v="237"/>
    <n v="10624"/>
    <x v="13"/>
    <x v="4"/>
    <x v="6"/>
    <n v="200.4"/>
    <n v="999.99600000000009"/>
    <x v="2"/>
    <x v="1"/>
    <x v="2"/>
    <x v="2"/>
  </r>
  <r>
    <n v="238"/>
    <n v="10629"/>
    <x v="18"/>
    <x v="4"/>
    <x v="6"/>
    <n v="200.4"/>
    <n v="999.99600000000009"/>
    <x v="2"/>
    <x v="1"/>
    <x v="0"/>
    <x v="0"/>
  </r>
  <r>
    <n v="239"/>
    <n v="10634"/>
    <x v="19"/>
    <x v="4"/>
    <x v="6"/>
    <n v="200.4"/>
    <n v="999.99600000000009"/>
    <x v="2"/>
    <x v="1"/>
    <x v="0"/>
    <x v="0"/>
  </r>
  <r>
    <n v="240"/>
    <n v="10639"/>
    <x v="25"/>
    <x v="4"/>
    <x v="6"/>
    <n v="200.4"/>
    <n v="999.99600000000009"/>
    <x v="2"/>
    <x v="1"/>
    <x v="0"/>
    <x v="0"/>
  </r>
  <r>
    <n v="241"/>
    <n v="10644"/>
    <x v="30"/>
    <x v="4"/>
    <x v="6"/>
    <n v="200.4"/>
    <n v="999.99600000000009"/>
    <x v="2"/>
    <x v="2"/>
    <x v="0"/>
    <x v="0"/>
  </r>
  <r>
    <n v="242"/>
    <n v="10649"/>
    <x v="20"/>
    <x v="4"/>
    <x v="6"/>
    <n v="200.4"/>
    <n v="999.99600000000009"/>
    <x v="2"/>
    <x v="1"/>
    <x v="0"/>
    <x v="0"/>
  </r>
  <r>
    <n v="243"/>
    <n v="10654"/>
    <x v="14"/>
    <x v="4"/>
    <x v="6"/>
    <n v="200.4"/>
    <n v="999.99600000000009"/>
    <x v="2"/>
    <x v="1"/>
    <x v="0"/>
    <x v="0"/>
  </r>
  <r>
    <n v="244"/>
    <n v="10659"/>
    <x v="12"/>
    <x v="4"/>
    <x v="6"/>
    <n v="200.4"/>
    <n v="999.99600000000009"/>
    <x v="2"/>
    <x v="2"/>
    <x v="0"/>
    <x v="0"/>
  </r>
  <r>
    <n v="245"/>
    <n v="10664"/>
    <x v="11"/>
    <x v="4"/>
    <x v="6"/>
    <n v="200.4"/>
    <n v="999.99600000000009"/>
    <x v="0"/>
    <x v="2"/>
    <x v="0"/>
    <x v="0"/>
  </r>
  <r>
    <n v="246"/>
    <n v="10669"/>
    <x v="9"/>
    <x v="4"/>
    <x v="6"/>
    <n v="200.4"/>
    <n v="999.99600000000009"/>
    <x v="0"/>
    <x v="2"/>
    <x v="0"/>
    <x v="0"/>
  </r>
  <r>
    <n v="247"/>
    <n v="10674"/>
    <x v="5"/>
    <x v="4"/>
    <x v="6"/>
    <n v="200.4"/>
    <n v="999.99600000000009"/>
    <x v="0"/>
    <x v="2"/>
    <x v="0"/>
    <x v="0"/>
  </r>
  <r>
    <n v="248"/>
    <n v="10679"/>
    <x v="6"/>
    <x v="4"/>
    <x v="6"/>
    <n v="200.4"/>
    <n v="999.99600000000009"/>
    <x v="0"/>
    <x v="2"/>
    <x v="0"/>
    <x v="0"/>
  </r>
  <r>
    <n v="249"/>
    <n v="10684"/>
    <x v="10"/>
    <x v="4"/>
    <x v="6"/>
    <n v="200.4"/>
    <n v="999.99600000000009"/>
    <x v="0"/>
    <x v="2"/>
    <x v="0"/>
    <x v="0"/>
  </r>
  <r>
    <n v="250"/>
    <n v="10689"/>
    <x v="7"/>
    <x v="4"/>
    <x v="6"/>
    <n v="200.4"/>
    <n v="999.99600000000009"/>
    <x v="0"/>
    <x v="2"/>
    <x v="1"/>
    <x v="1"/>
  </r>
  <r>
    <n v="251"/>
    <n v="10694"/>
    <x v="8"/>
    <x v="4"/>
    <x v="6"/>
    <n v="200.4"/>
    <n v="999.99600000000009"/>
    <x v="0"/>
    <x v="2"/>
    <x v="1"/>
    <x v="1"/>
  </r>
  <r>
    <n v="252"/>
    <n v="10699"/>
    <x v="3"/>
    <x v="4"/>
    <x v="6"/>
    <n v="200.4"/>
    <n v="999.99600000000009"/>
    <x v="0"/>
    <x v="2"/>
    <x v="1"/>
    <x v="1"/>
  </r>
  <r>
    <n v="253"/>
    <n v="10704"/>
    <x v="4"/>
    <x v="4"/>
    <x v="6"/>
    <n v="200.4"/>
    <n v="999.99600000000009"/>
    <x v="1"/>
    <x v="1"/>
    <x v="1"/>
    <x v="1"/>
  </r>
  <r>
    <n v="254"/>
    <n v="10709"/>
    <x v="2"/>
    <x v="4"/>
    <x v="6"/>
    <n v="200.4"/>
    <n v="999.99600000000009"/>
    <x v="1"/>
    <x v="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8F9540-1C4E-4570-BDF3-9537010ACA7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Payment Method Distribution">
  <location ref="A3:B7" firstHeaderRow="1" firstDataRow="1" firstDataCol="1" rowPageCount="1" colPageCount="1"/>
  <pivotFields count="11">
    <pivotField showAll="0"/>
    <pivotField dataField="1" showAll="0"/>
    <pivotField showAll="0"/>
    <pivotField showAll="0">
      <items count="6">
        <item h="1" x="3"/>
        <item x="1"/>
        <item h="1" x="2"/>
        <item h="1" x="0"/>
        <item h="1" x="4"/>
        <item t="default"/>
      </items>
    </pivotField>
    <pivotField showAll="0"/>
    <pivotField showAll="0"/>
    <pivotField numFmtId="164" showAll="0"/>
    <pivotField axis="axisPage" multipleItemSelectionAllowed="1" showAll="0">
      <items count="4">
        <item x="1"/>
        <item x="0"/>
        <item x="2"/>
        <item t="default"/>
      </items>
    </pivotField>
    <pivotField axis="axisRow" showAll="0">
      <items count="4">
        <item x="2"/>
        <item x="0"/>
        <item x="1"/>
        <item t="default"/>
      </items>
    </pivotField>
    <pivotField showAll="0"/>
    <pivotField showAll="0">
      <items count="6">
        <item x="1"/>
        <item x="0"/>
        <item x="2"/>
        <item x="4"/>
        <item x="3"/>
        <item t="default"/>
      </items>
    </pivotField>
  </pivotFields>
  <rowFields count="1">
    <field x="8"/>
  </rowFields>
  <rowItems count="4">
    <i>
      <x/>
    </i>
    <i>
      <x v="1"/>
    </i>
    <i>
      <x v="2"/>
    </i>
    <i t="grand">
      <x/>
    </i>
  </rowItems>
  <colItems count="1">
    <i/>
  </colItems>
  <pageFields count="1">
    <pageField fld="7" hier="-1"/>
  </pageFields>
  <dataFields count="1">
    <dataField name="Count of Order ID" fld="1" subtotal="count" baseField="8" baseItem="0"/>
  </dataFields>
  <chartFormats count="9">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8" count="1" selected="0">
            <x v="0"/>
          </reference>
        </references>
      </pivotArea>
    </chartFormat>
    <chartFormat chart="20" format="4">
      <pivotArea type="data" outline="0" fieldPosition="0">
        <references count="2">
          <reference field="4294967294" count="1" selected="0">
            <x v="0"/>
          </reference>
          <reference field="8" count="1" selected="0">
            <x v="1"/>
          </reference>
        </references>
      </pivotArea>
    </chartFormat>
    <chartFormat chart="20" format="5">
      <pivotArea type="data" outline="0" fieldPosition="0">
        <references count="2">
          <reference field="4294967294" count="1" selected="0">
            <x v="0"/>
          </reference>
          <reference field="8" count="1" selected="0">
            <x v="2"/>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8" count="1" selected="0">
            <x v="0"/>
          </reference>
        </references>
      </pivotArea>
    </chartFormat>
    <chartFormat chart="23" format="8">
      <pivotArea type="data" outline="0" fieldPosition="0">
        <references count="2">
          <reference field="4294967294" count="1" selected="0">
            <x v="0"/>
          </reference>
          <reference field="8" count="1" selected="0">
            <x v="1"/>
          </reference>
        </references>
      </pivotArea>
    </chartFormat>
    <chartFormat chart="23" format="9">
      <pivotArea type="data" outline="0" fieldPosition="0">
        <references count="2">
          <reference field="4294967294" count="1" selected="0">
            <x v="0"/>
          </reference>
          <reference field="8" count="1" selected="0">
            <x v="2"/>
          </reference>
        </references>
      </pivotArea>
    </chartFormat>
    <chartFormat chart="24"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3E9010-5055-4D29-8173-342E621BA8C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venue By product">
  <location ref="A3:B5" firstHeaderRow="1" firstDataRow="1" firstDataCol="1" rowPageCount="1" colPageCount="1"/>
  <pivotFields count="11">
    <pivotField showAll="0"/>
    <pivotField showAll="0"/>
    <pivotField showAll="0"/>
    <pivotField axis="axisRow" showAll="0">
      <items count="6">
        <item h="1" x="3"/>
        <item x="1"/>
        <item h="1" x="2"/>
        <item h="1" x="0"/>
        <item h="1" x="4"/>
        <item t="default"/>
      </items>
    </pivotField>
    <pivotField axis="axisPage" multipleItemSelectionAllowed="1" showAll="0">
      <items count="8">
        <item x="5"/>
        <item x="4"/>
        <item x="6"/>
        <item x="3"/>
        <item x="1"/>
        <item x="0"/>
        <item x="2"/>
        <item t="default"/>
      </items>
    </pivotField>
    <pivotField showAll="0"/>
    <pivotField dataField="1" numFmtId="164" showAll="0"/>
    <pivotField showAll="0"/>
    <pivotField showAll="0">
      <items count="4">
        <item x="2"/>
        <item x="0"/>
        <item x="1"/>
        <item t="default"/>
      </items>
    </pivotField>
    <pivotField showAll="0"/>
    <pivotField showAll="0">
      <items count="6">
        <item x="1"/>
        <item x="0"/>
        <item x="2"/>
        <item x="4"/>
        <item x="3"/>
        <item t="default"/>
      </items>
    </pivotField>
  </pivotFields>
  <rowFields count="1">
    <field x="3"/>
  </rowFields>
  <rowItems count="2">
    <i>
      <x v="1"/>
    </i>
    <i t="grand">
      <x/>
    </i>
  </rowItems>
  <colItems count="1">
    <i/>
  </colItems>
  <pageFields count="1">
    <pageField fld="4" hier="-1"/>
  </pageFields>
  <dataFields count="1">
    <dataField name="Total Revenue" fld="6" baseField="3" baseItem="0" numFmtId="164"/>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9F1377-EC9E-484B-8B96-AB5BD0714EE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ity">
  <location ref="A3:B9" firstHeaderRow="1" firstDataRow="1" firstDataCol="1" rowPageCount="1" colPageCount="1"/>
  <pivotFields count="11">
    <pivotField showAll="0"/>
    <pivotField showAll="0"/>
    <pivotField numFmtId="14" showAll="0"/>
    <pivotField showAll="0">
      <items count="6">
        <item h="1" x="3"/>
        <item x="1"/>
        <item h="1" x="2"/>
        <item h="1" x="0"/>
        <item h="1" x="4"/>
        <item t="default"/>
      </items>
    </pivotField>
    <pivotField showAll="0"/>
    <pivotField showAll="0"/>
    <pivotField dataField="1" numFmtId="164" showAll="0"/>
    <pivotField showAll="0"/>
    <pivotField showAll="0">
      <items count="4">
        <item x="2"/>
        <item x="0"/>
        <item x="1"/>
        <item t="default"/>
      </items>
    </pivotField>
    <pivotField axis="axisPage" multipleItemSelectionAllowed="1" showAll="0">
      <items count="10">
        <item x="5"/>
        <item x="7"/>
        <item x="8"/>
        <item x="0"/>
        <item x="6"/>
        <item x="4"/>
        <item x="3"/>
        <item x="2"/>
        <item x="1"/>
        <item t="default"/>
      </items>
    </pivotField>
    <pivotField axis="axisRow" showAll="0">
      <items count="6">
        <item x="1"/>
        <item x="0"/>
        <item x="2"/>
        <item x="4"/>
        <item x="3"/>
        <item t="default"/>
      </items>
    </pivotField>
  </pivotFields>
  <rowFields count="1">
    <field x="10"/>
  </rowFields>
  <rowItems count="6">
    <i>
      <x/>
    </i>
    <i>
      <x v="1"/>
    </i>
    <i>
      <x v="2"/>
    </i>
    <i>
      <x v="3"/>
    </i>
    <i>
      <x v="4"/>
    </i>
    <i t="grand">
      <x/>
    </i>
  </rowItems>
  <colItems count="1">
    <i/>
  </colItems>
  <pageFields count="1">
    <pageField fld="9" hier="-1"/>
  </pageFields>
  <dataFields count="1">
    <dataField name="Revenue By City" fld="6" baseField="10" baseItem="0" numFmtId="164"/>
  </dataFields>
  <chartFormats count="1">
    <chartFormat chart="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8EB335-908B-4C60-A411-3D1E55B023C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Date of purchase">
  <location ref="A3:C56" firstHeaderRow="0" firstDataRow="1" firstDataCol="1" rowPageCount="1" colPageCount="1"/>
  <pivotFields count="11">
    <pivotField dataField="1" showAll="0"/>
    <pivotField showAll="0"/>
    <pivotField axis="axisRow" showAll="0">
      <items count="54">
        <item x="52"/>
        <item x="15"/>
        <item x="21"/>
        <item x="22"/>
        <item x="23"/>
        <item x="31"/>
        <item x="0"/>
        <item x="33"/>
        <item x="37"/>
        <item x="38"/>
        <item x="32"/>
        <item x="26"/>
        <item x="39"/>
        <item x="43"/>
        <item x="40"/>
        <item x="48"/>
        <item x="44"/>
        <item x="45"/>
        <item x="49"/>
        <item x="51"/>
        <item x="50"/>
        <item x="46"/>
        <item x="47"/>
        <item x="41"/>
        <item x="42"/>
        <item x="34"/>
        <item x="35"/>
        <item x="27"/>
        <item x="24"/>
        <item x="28"/>
        <item x="36"/>
        <item x="29"/>
        <item x="16"/>
        <item x="17"/>
        <item x="13"/>
        <item x="18"/>
        <item x="19"/>
        <item x="25"/>
        <item x="30"/>
        <item x="20"/>
        <item x="14"/>
        <item x="12"/>
        <item x="11"/>
        <item x="9"/>
        <item x="5"/>
        <item x="6"/>
        <item x="10"/>
        <item x="7"/>
        <item x="8"/>
        <item x="3"/>
        <item x="4"/>
        <item x="2"/>
        <item x="1"/>
        <item t="default"/>
      </items>
    </pivotField>
    <pivotField showAll="0">
      <items count="6">
        <item h="1" x="3"/>
        <item x="1"/>
        <item h="1" x="2"/>
        <item h="1" x="0"/>
        <item h="1" x="4"/>
        <item t="default"/>
      </items>
    </pivotField>
    <pivotField showAll="0"/>
    <pivotField dataField="1" showAll="0"/>
    <pivotField numFmtId="164" showAll="0"/>
    <pivotField showAll="0"/>
    <pivotField showAll="0">
      <items count="4">
        <item x="2"/>
        <item x="0"/>
        <item x="1"/>
        <item t="default"/>
      </items>
    </pivotField>
    <pivotField axis="axisPage" multipleItemSelectionAllowed="1" showAll="0">
      <items count="10">
        <item x="5"/>
        <item x="7"/>
        <item x="8"/>
        <item x="0"/>
        <item x="6"/>
        <item x="4"/>
        <item x="3"/>
        <item x="2"/>
        <item x="1"/>
        <item t="default"/>
      </items>
    </pivotField>
    <pivotField showAll="0">
      <items count="6">
        <item x="1"/>
        <item x="0"/>
        <item x="2"/>
        <item x="4"/>
        <item x="3"/>
        <item t="default"/>
      </items>
    </pivotField>
  </pivotFields>
  <rowFields count="1">
    <field x="2"/>
  </rowFields>
  <rowItems count="53">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2"/>
  </colFields>
  <colItems count="2">
    <i>
      <x/>
    </i>
    <i i="1">
      <x v="1"/>
    </i>
  </colItems>
  <pageFields count="1">
    <pageField fld="9" hier="-1"/>
  </pageFields>
  <dataFields count="2">
    <dataField name="Average Quantity" fld="5" subtotal="average" baseField="2" baseItem="0"/>
    <dataField name="Count of Original Order" fld="0" subtotal="count" baseField="0" baseItem="0"/>
  </dataFields>
  <chartFormats count="2">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63D09E66-9D68-4A6C-B5CD-13E49072CC69}" sourceName="Date">
  <pivotTables>
    <pivotTable tabId="5" name="PivotTable3"/>
  </pivotTables>
  <data>
    <tabular pivotCacheId="253204613">
      <items count="53">
        <i x="15" s="1"/>
        <i x="21" s="1"/>
        <i x="22" s="1"/>
        <i x="23" s="1"/>
        <i x="31" s="1"/>
        <i x="0" s="1"/>
        <i x="33" s="1"/>
        <i x="37" s="1"/>
        <i x="38" s="1"/>
        <i x="32" s="1"/>
        <i x="26" s="1"/>
        <i x="39" s="1"/>
        <i x="43" s="1"/>
        <i x="40" s="1"/>
        <i x="48" s="1"/>
        <i x="44" s="1"/>
        <i x="45" s="1"/>
        <i x="49" s="1"/>
        <i x="51" s="1"/>
        <i x="50" s="1"/>
        <i x="46" s="1"/>
        <i x="47" s="1"/>
        <i x="41" s="1"/>
        <i x="42" s="1"/>
        <i x="34" s="1"/>
        <i x="35" s="1"/>
        <i x="27" s="1"/>
        <i x="24" s="1"/>
        <i x="28" s="1"/>
        <i x="36" s="1"/>
        <i x="29" s="1"/>
        <i x="16" s="1"/>
        <i x="17" s="1"/>
        <i x="13" s="1"/>
        <i x="18" s="1"/>
        <i x="19" s="1"/>
        <i x="25" s="1"/>
        <i x="30" s="1"/>
        <i x="20" s="1"/>
        <i x="14" s="1"/>
        <i x="12" s="1"/>
        <i x="11" s="1"/>
        <i x="9" s="1"/>
        <i x="5" s="1"/>
        <i x="6" s="1"/>
        <i x="10" s="1"/>
        <i x="7" s="1"/>
        <i x="8" s="1"/>
        <i x="3" s="1"/>
        <i x="4" s="1"/>
        <i x="2" s="1"/>
        <i x="1" s="1"/>
        <i x="5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237CB41-EBA9-4CB5-AE1E-03CE8DB6106B}" sourceName="City">
  <pivotTables>
    <pivotTable tabId="19" name="PivotTable5"/>
    <pivotTable tabId="3" name="PivotTable1"/>
    <pivotTable tabId="4" name="PivotTable2"/>
    <pivotTable tabId="5" name="PivotTable3"/>
  </pivotTables>
  <data>
    <tabular pivotCacheId="253204613">
      <items count="5">
        <i x="1" s="1"/>
        <i x="0" s="1"/>
        <i x="2"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A3757A43-A8D8-4EAD-A8FA-792302735710}" sourceName="Payment Method">
  <pivotTables>
    <pivotTable tabId="3" name="PivotTable1"/>
    <pivotTable tabId="19" name="PivotTable5"/>
    <pivotTable tabId="4" name="PivotTable2"/>
    <pivotTable tabId="5" name="PivotTable3"/>
  </pivotTables>
  <data>
    <tabular pivotCacheId="253204613">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50FF877-92D5-4A49-9DDD-DEEAD0577C93}" sourceName="Product">
  <pivotTables>
    <pivotTable tabId="4" name="PivotTable2"/>
    <pivotTable tabId="19" name="PivotTable5"/>
    <pivotTable tabId="3" name="PivotTable1"/>
    <pivotTable tabId="5" name="PivotTable3"/>
  </pivotTables>
  <data>
    <tabular pivotCacheId="253204613">
      <items count="5">
        <i x="3"/>
        <i x="1" s="1"/>
        <i x="2"/>
        <i x="0"/>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8C146353-387A-4815-89A5-B346B4308B6B}" cache="Slicer_City" caption="City" style="SlicerStyleDark6" rowHeight="234950"/>
  <slicer name="Payment Method" xr10:uid="{E46178DB-650D-4AF2-9859-C6E430545AB0}" cache="Slicer_Payment_Method" caption="Payment Method" style="SlicerStyleLight4" rowHeight="234950"/>
  <slicer name="Product" xr10:uid="{5BE1867E-18EE-44B3-AB03-1294348F2756}" cache="Slicer_Product" caption="Product"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3F847656-E3EC-458F-B5C8-A73DF76C0A36}" cache="Slicer_Date" caption="Date" startItem="46" style="SlicerStyleLight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5AA2E-2E77-4DE7-ABF1-91CD6AB00A3A}">
  <dimension ref="AF9"/>
  <sheetViews>
    <sheetView showGridLines="0" tabSelected="1" zoomScale="36" workbookViewId="0">
      <selection activeCell="AF9" sqref="AF9"/>
    </sheetView>
  </sheetViews>
  <sheetFormatPr defaultRowHeight="14.4" x14ac:dyDescent="0.3"/>
  <sheetData>
    <row r="9" spans="32:32" x14ac:dyDescent="0.3">
      <c r="AF9" t="s">
        <v>62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18E38-8E63-4DF0-AC28-BAEE67F02126}">
  <dimension ref="A1:B7"/>
  <sheetViews>
    <sheetView workbookViewId="0"/>
  </sheetViews>
  <sheetFormatPr defaultRowHeight="14.4" x14ac:dyDescent="0.3"/>
  <cols>
    <col min="1" max="1" width="28.6640625" bestFit="1" customWidth="1"/>
    <col min="2" max="2" width="15.88671875" bestFit="1" customWidth="1"/>
  </cols>
  <sheetData>
    <row r="1" spans="1:2" x14ac:dyDescent="0.3">
      <c r="A1" s="18" t="s">
        <v>4</v>
      </c>
      <c r="B1" t="s">
        <v>52</v>
      </c>
    </row>
    <row r="3" spans="1:2" x14ac:dyDescent="0.3">
      <c r="A3" s="18" t="s">
        <v>57</v>
      </c>
      <c r="B3" t="s">
        <v>51</v>
      </c>
    </row>
    <row r="4" spans="1:2" x14ac:dyDescent="0.3">
      <c r="A4" s="19" t="s">
        <v>29</v>
      </c>
      <c r="B4">
        <v>16</v>
      </c>
    </row>
    <row r="5" spans="1:2" x14ac:dyDescent="0.3">
      <c r="A5" s="19" t="s">
        <v>19</v>
      </c>
      <c r="B5">
        <v>26</v>
      </c>
    </row>
    <row r="6" spans="1:2" x14ac:dyDescent="0.3">
      <c r="A6" s="19" t="s">
        <v>10</v>
      </c>
      <c r="B6">
        <v>10</v>
      </c>
    </row>
    <row r="7" spans="1:2" x14ac:dyDescent="0.3">
      <c r="A7" s="19" t="s">
        <v>50</v>
      </c>
      <c r="B7">
        <v>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49C6D-36A2-48A5-8A9D-C46FEC5F6B18}">
  <dimension ref="A1:B5"/>
  <sheetViews>
    <sheetView zoomScaleNormal="100" workbookViewId="0">
      <selection activeCell="A3" sqref="A3"/>
    </sheetView>
  </sheetViews>
  <sheetFormatPr defaultRowHeight="14.4" x14ac:dyDescent="0.3"/>
  <cols>
    <col min="1" max="1" width="20.44140625" bestFit="1" customWidth="1"/>
    <col min="2" max="2" width="13.109375" bestFit="1" customWidth="1"/>
  </cols>
  <sheetData>
    <row r="1" spans="1:2" x14ac:dyDescent="0.3">
      <c r="A1" s="18" t="s">
        <v>2</v>
      </c>
      <c r="B1" t="s">
        <v>52</v>
      </c>
    </row>
    <row r="3" spans="1:2" x14ac:dyDescent="0.3">
      <c r="A3" s="18" t="s">
        <v>56</v>
      </c>
      <c r="B3" t="s">
        <v>33</v>
      </c>
    </row>
    <row r="4" spans="1:2" x14ac:dyDescent="0.3">
      <c r="A4" s="19" t="s">
        <v>18</v>
      </c>
      <c r="B4" s="4">
        <v>376999.80689999979</v>
      </c>
    </row>
    <row r="5" spans="1:2" x14ac:dyDescent="0.3">
      <c r="A5" s="19" t="s">
        <v>50</v>
      </c>
      <c r="B5" s="4">
        <v>376999.80689999979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95207-E730-45AF-A787-86985A11230D}">
  <dimension ref="A1:B9"/>
  <sheetViews>
    <sheetView workbookViewId="0">
      <selection activeCell="S23" sqref="S23"/>
    </sheetView>
  </sheetViews>
  <sheetFormatPr defaultRowHeight="14.4" x14ac:dyDescent="0.3"/>
  <cols>
    <col min="1" max="1" width="10.77734375" bestFit="1" customWidth="1"/>
    <col min="2" max="2" width="14.6640625" bestFit="1" customWidth="1"/>
  </cols>
  <sheetData>
    <row r="1" spans="1:2" x14ac:dyDescent="0.3">
      <c r="A1" s="18" t="s">
        <v>6</v>
      </c>
      <c r="B1" t="s">
        <v>52</v>
      </c>
    </row>
    <row r="3" spans="1:2" x14ac:dyDescent="0.3">
      <c r="A3" s="18" t="s">
        <v>7</v>
      </c>
      <c r="B3" t="s">
        <v>60</v>
      </c>
    </row>
    <row r="4" spans="1:2" x14ac:dyDescent="0.3">
      <c r="A4" s="19" t="s">
        <v>21</v>
      </c>
      <c r="B4" s="4">
        <v>53399.941500000001</v>
      </c>
    </row>
    <row r="5" spans="1:2" x14ac:dyDescent="0.3">
      <c r="A5" s="19" t="s">
        <v>17</v>
      </c>
      <c r="B5" s="4">
        <v>108799.82340000002</v>
      </c>
    </row>
    <row r="6" spans="1:2" x14ac:dyDescent="0.3">
      <c r="A6" s="19" t="s">
        <v>11</v>
      </c>
      <c r="B6" s="4">
        <v>101800.29180000001</v>
      </c>
    </row>
    <row r="7" spans="1:2" x14ac:dyDescent="0.3">
      <c r="A7" s="19" t="s">
        <v>13</v>
      </c>
      <c r="B7" s="4">
        <v>73599.781199999998</v>
      </c>
    </row>
    <row r="8" spans="1:2" x14ac:dyDescent="0.3">
      <c r="A8" s="19" t="s">
        <v>23</v>
      </c>
      <c r="B8" s="4">
        <v>39399.968999999997</v>
      </c>
    </row>
    <row r="9" spans="1:2" x14ac:dyDescent="0.3">
      <c r="A9" s="19" t="s">
        <v>50</v>
      </c>
      <c r="B9" s="4">
        <v>376999.80690000003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9A1F0-979C-4414-801C-A5C6BF5F7A90}">
  <sheetPr>
    <pageSetUpPr autoPageBreaks="0"/>
  </sheetPr>
  <dimension ref="A1:R276"/>
  <sheetViews>
    <sheetView topLeftCell="F1" zoomScaleNormal="100" workbookViewId="0"/>
  </sheetViews>
  <sheetFormatPr defaultRowHeight="14.4" x14ac:dyDescent="0.3"/>
  <cols>
    <col min="1" max="1" width="8.88671875" customWidth="1"/>
    <col min="2" max="2" width="9" bestFit="1" customWidth="1"/>
    <col min="3" max="3" width="11.21875" bestFit="1" customWidth="1"/>
    <col min="5" max="5" width="9" bestFit="1" customWidth="1"/>
    <col min="6" max="6" width="12" bestFit="1" customWidth="1"/>
    <col min="7" max="7" width="14.44140625" style="4" customWidth="1"/>
    <col min="11" max="11" width="7.6640625" customWidth="1"/>
    <col min="13" max="13" width="26" customWidth="1"/>
    <col min="14" max="14" width="26.109375" customWidth="1"/>
    <col min="15" max="15" width="24" customWidth="1"/>
    <col min="16" max="16" width="23.5546875" customWidth="1"/>
  </cols>
  <sheetData>
    <row r="1" spans="1:11" x14ac:dyDescent="0.3">
      <c r="A1" s="2" t="s">
        <v>31</v>
      </c>
      <c r="B1" s="2" t="s">
        <v>0</v>
      </c>
      <c r="C1" s="2" t="s">
        <v>1</v>
      </c>
      <c r="D1" s="2" t="s">
        <v>59</v>
      </c>
      <c r="E1" s="2" t="s">
        <v>2</v>
      </c>
      <c r="F1" s="2" t="s">
        <v>3</v>
      </c>
      <c r="G1" s="3" t="s">
        <v>32</v>
      </c>
      <c r="H1" s="2" t="s">
        <v>4</v>
      </c>
      <c r="I1" s="2" t="s">
        <v>5</v>
      </c>
      <c r="J1" s="2" t="s">
        <v>6</v>
      </c>
      <c r="K1" s="2" t="s">
        <v>7</v>
      </c>
    </row>
    <row r="2" spans="1:11" x14ac:dyDescent="0.3">
      <c r="A2">
        <v>1</v>
      </c>
      <c r="B2">
        <v>10482</v>
      </c>
      <c r="C2" s="1">
        <v>44878</v>
      </c>
      <c r="D2" t="s">
        <v>8</v>
      </c>
      <c r="E2">
        <v>25.5</v>
      </c>
      <c r="F2">
        <v>630.37</v>
      </c>
      <c r="G2" s="4">
        <f t="shared" ref="G2:G65" si="0">E2*F2</f>
        <v>16074.434999999999</v>
      </c>
      <c r="H2" t="s">
        <v>15</v>
      </c>
      <c r="I2" t="s">
        <v>19</v>
      </c>
      <c r="J2" t="s">
        <v>27</v>
      </c>
      <c r="K2" t="s">
        <v>17</v>
      </c>
    </row>
    <row r="3" spans="1:11" x14ac:dyDescent="0.3">
      <c r="A3">
        <v>2</v>
      </c>
      <c r="B3">
        <v>10710</v>
      </c>
      <c r="C3" s="1">
        <v>44924</v>
      </c>
      <c r="D3" t="s">
        <v>18</v>
      </c>
      <c r="E3">
        <v>12.99</v>
      </c>
      <c r="F3">
        <v>754.43</v>
      </c>
      <c r="G3" s="4">
        <f t="shared" si="0"/>
        <v>9800.0456999999988</v>
      </c>
      <c r="H3" t="s">
        <v>28</v>
      </c>
      <c r="I3" t="s">
        <v>10</v>
      </c>
      <c r="J3" t="s">
        <v>20</v>
      </c>
      <c r="K3" t="s">
        <v>21</v>
      </c>
    </row>
    <row r="4" spans="1:11" x14ac:dyDescent="0.3">
      <c r="A4">
        <v>3</v>
      </c>
      <c r="B4">
        <v>10705</v>
      </c>
      <c r="C4" s="1">
        <v>44923</v>
      </c>
      <c r="D4" t="s">
        <v>18</v>
      </c>
      <c r="E4">
        <v>12.99</v>
      </c>
      <c r="F4">
        <v>723.63</v>
      </c>
      <c r="G4" s="4">
        <f t="shared" si="0"/>
        <v>9399.9537</v>
      </c>
      <c r="H4" t="s">
        <v>28</v>
      </c>
      <c r="I4" t="s">
        <v>10</v>
      </c>
      <c r="J4" t="s">
        <v>20</v>
      </c>
      <c r="K4" t="s">
        <v>21</v>
      </c>
    </row>
    <row r="5" spans="1:11" x14ac:dyDescent="0.3">
      <c r="A5">
        <v>4</v>
      </c>
      <c r="B5">
        <v>10695</v>
      </c>
      <c r="C5" s="1">
        <v>44921</v>
      </c>
      <c r="D5" t="s">
        <v>18</v>
      </c>
      <c r="E5">
        <v>12.99</v>
      </c>
      <c r="F5">
        <v>692.84</v>
      </c>
      <c r="G5" s="4">
        <f t="shared" si="0"/>
        <v>8999.9916000000012</v>
      </c>
      <c r="H5" t="s">
        <v>15</v>
      </c>
      <c r="I5" t="s">
        <v>29</v>
      </c>
      <c r="J5" t="s">
        <v>20</v>
      </c>
      <c r="K5" t="s">
        <v>21</v>
      </c>
    </row>
    <row r="6" spans="1:11" x14ac:dyDescent="0.3">
      <c r="A6">
        <v>5</v>
      </c>
      <c r="B6">
        <v>10700</v>
      </c>
      <c r="C6" s="1">
        <v>44922</v>
      </c>
      <c r="D6" t="s">
        <v>18</v>
      </c>
      <c r="E6">
        <v>12.99</v>
      </c>
      <c r="F6">
        <v>692.84</v>
      </c>
      <c r="G6" s="4">
        <f t="shared" si="0"/>
        <v>8999.9916000000012</v>
      </c>
      <c r="H6" t="s">
        <v>15</v>
      </c>
      <c r="I6" t="s">
        <v>29</v>
      </c>
      <c r="J6" t="s">
        <v>20</v>
      </c>
      <c r="K6" t="s">
        <v>21</v>
      </c>
    </row>
    <row r="7" spans="1:11" x14ac:dyDescent="0.3">
      <c r="A7">
        <v>6</v>
      </c>
      <c r="B7">
        <v>10670</v>
      </c>
      <c r="C7" s="1">
        <v>44916</v>
      </c>
      <c r="D7" t="s">
        <v>18</v>
      </c>
      <c r="E7">
        <v>12.99</v>
      </c>
      <c r="F7">
        <v>677.44</v>
      </c>
      <c r="G7" s="4">
        <f t="shared" si="0"/>
        <v>8799.9456000000009</v>
      </c>
      <c r="H7" t="s">
        <v>15</v>
      </c>
      <c r="I7" t="s">
        <v>29</v>
      </c>
      <c r="J7" t="s">
        <v>27</v>
      </c>
      <c r="K7" t="s">
        <v>17</v>
      </c>
    </row>
    <row r="8" spans="1:11" x14ac:dyDescent="0.3">
      <c r="A8">
        <v>7</v>
      </c>
      <c r="B8">
        <v>10675</v>
      </c>
      <c r="C8" s="1">
        <v>44917</v>
      </c>
      <c r="D8" t="s">
        <v>18</v>
      </c>
      <c r="E8">
        <v>12.99</v>
      </c>
      <c r="F8">
        <v>677.44</v>
      </c>
      <c r="G8" s="4">
        <f t="shared" si="0"/>
        <v>8799.9456000000009</v>
      </c>
      <c r="H8" t="s">
        <v>15</v>
      </c>
      <c r="I8" t="s">
        <v>29</v>
      </c>
      <c r="J8" t="s">
        <v>27</v>
      </c>
      <c r="K8" t="s">
        <v>17</v>
      </c>
    </row>
    <row r="9" spans="1:11" x14ac:dyDescent="0.3">
      <c r="A9">
        <v>8</v>
      </c>
      <c r="B9">
        <v>10685</v>
      </c>
      <c r="C9" s="1">
        <v>44919</v>
      </c>
      <c r="D9" t="s">
        <v>18</v>
      </c>
      <c r="E9">
        <v>12.99</v>
      </c>
      <c r="F9">
        <v>677.44</v>
      </c>
      <c r="G9" s="4">
        <f t="shared" si="0"/>
        <v>8799.9456000000009</v>
      </c>
      <c r="H9" t="s">
        <v>15</v>
      </c>
      <c r="I9" t="s">
        <v>29</v>
      </c>
      <c r="J9" t="s">
        <v>27</v>
      </c>
      <c r="K9" t="s">
        <v>17</v>
      </c>
    </row>
    <row r="10" spans="1:11" x14ac:dyDescent="0.3">
      <c r="A10">
        <v>9</v>
      </c>
      <c r="B10">
        <v>10690</v>
      </c>
      <c r="C10" s="1">
        <v>44920</v>
      </c>
      <c r="D10" t="s">
        <v>18</v>
      </c>
      <c r="E10">
        <v>12.99</v>
      </c>
      <c r="F10">
        <v>677.44</v>
      </c>
      <c r="G10" s="4">
        <f t="shared" si="0"/>
        <v>8799.9456000000009</v>
      </c>
      <c r="H10" t="s">
        <v>15</v>
      </c>
      <c r="I10" t="s">
        <v>29</v>
      </c>
      <c r="J10" t="s">
        <v>20</v>
      </c>
      <c r="K10" t="s">
        <v>21</v>
      </c>
    </row>
    <row r="11" spans="1:11" x14ac:dyDescent="0.3">
      <c r="A11">
        <v>10</v>
      </c>
      <c r="B11">
        <v>10665</v>
      </c>
      <c r="C11" s="1">
        <v>44915</v>
      </c>
      <c r="D11" t="s">
        <v>18</v>
      </c>
      <c r="E11">
        <v>12.99</v>
      </c>
      <c r="F11">
        <v>646.65</v>
      </c>
      <c r="G11" s="4">
        <f t="shared" si="0"/>
        <v>8399.9835000000003</v>
      </c>
      <c r="H11" t="s">
        <v>15</v>
      </c>
      <c r="I11" t="s">
        <v>29</v>
      </c>
      <c r="J11" t="s">
        <v>27</v>
      </c>
      <c r="K11" t="s">
        <v>17</v>
      </c>
    </row>
    <row r="12" spans="1:11" x14ac:dyDescent="0.3">
      <c r="A12">
        <v>11</v>
      </c>
      <c r="B12">
        <v>10680</v>
      </c>
      <c r="C12" s="1">
        <v>44918</v>
      </c>
      <c r="D12" t="s">
        <v>18</v>
      </c>
      <c r="E12">
        <v>12.99</v>
      </c>
      <c r="F12">
        <v>646.65</v>
      </c>
      <c r="G12" s="4">
        <f t="shared" si="0"/>
        <v>8399.9835000000003</v>
      </c>
      <c r="H12" t="s">
        <v>15</v>
      </c>
      <c r="I12" t="s">
        <v>29</v>
      </c>
      <c r="J12" t="s">
        <v>27</v>
      </c>
      <c r="K12" t="s">
        <v>17</v>
      </c>
    </row>
    <row r="13" spans="1:11" x14ac:dyDescent="0.3">
      <c r="A13">
        <v>12</v>
      </c>
      <c r="B13">
        <v>10660</v>
      </c>
      <c r="C13" s="1">
        <v>44914</v>
      </c>
      <c r="D13" t="s">
        <v>18</v>
      </c>
      <c r="E13">
        <v>12.99</v>
      </c>
      <c r="F13">
        <v>631.25</v>
      </c>
      <c r="G13" s="4">
        <f t="shared" si="0"/>
        <v>8199.9375</v>
      </c>
      <c r="H13" t="s">
        <v>15</v>
      </c>
      <c r="I13" t="s">
        <v>29</v>
      </c>
      <c r="J13" t="s">
        <v>27</v>
      </c>
      <c r="K13" t="s">
        <v>17</v>
      </c>
    </row>
    <row r="14" spans="1:11" x14ac:dyDescent="0.3">
      <c r="A14">
        <v>13</v>
      </c>
      <c r="B14">
        <v>10655</v>
      </c>
      <c r="C14" s="1">
        <v>44913</v>
      </c>
      <c r="D14" t="s">
        <v>18</v>
      </c>
      <c r="E14">
        <v>12.99</v>
      </c>
      <c r="F14">
        <v>600.46</v>
      </c>
      <c r="G14" s="4">
        <f t="shared" si="0"/>
        <v>7799.9754000000003</v>
      </c>
      <c r="H14" t="s">
        <v>9</v>
      </c>
      <c r="I14" t="s">
        <v>10</v>
      </c>
      <c r="J14" t="s">
        <v>27</v>
      </c>
      <c r="K14" t="s">
        <v>17</v>
      </c>
    </row>
    <row r="15" spans="1:11" x14ac:dyDescent="0.3">
      <c r="A15">
        <v>14</v>
      </c>
      <c r="B15">
        <v>10620</v>
      </c>
      <c r="C15" s="1">
        <v>44906</v>
      </c>
      <c r="D15" t="s">
        <v>18</v>
      </c>
      <c r="E15">
        <v>12.99</v>
      </c>
      <c r="F15">
        <v>585.07000000000005</v>
      </c>
      <c r="G15" s="4">
        <f t="shared" si="0"/>
        <v>7600.0593000000008</v>
      </c>
      <c r="H15" t="s">
        <v>9</v>
      </c>
      <c r="I15" t="s">
        <v>10</v>
      </c>
      <c r="J15" t="s">
        <v>30</v>
      </c>
      <c r="K15" t="s">
        <v>11</v>
      </c>
    </row>
    <row r="16" spans="1:11" x14ac:dyDescent="0.3">
      <c r="A16">
        <v>15</v>
      </c>
      <c r="B16">
        <v>10650</v>
      </c>
      <c r="C16" s="1">
        <v>44912</v>
      </c>
      <c r="D16" t="s">
        <v>18</v>
      </c>
      <c r="E16">
        <v>12.99</v>
      </c>
      <c r="F16">
        <v>585.07000000000005</v>
      </c>
      <c r="G16" s="4">
        <f t="shared" si="0"/>
        <v>7600.0593000000008</v>
      </c>
      <c r="H16" t="s">
        <v>9</v>
      </c>
      <c r="I16" t="s">
        <v>10</v>
      </c>
      <c r="J16" t="s">
        <v>27</v>
      </c>
      <c r="K16" t="s">
        <v>17</v>
      </c>
    </row>
    <row r="17" spans="1:11" x14ac:dyDescent="0.3">
      <c r="A17">
        <v>16</v>
      </c>
      <c r="B17">
        <v>10455</v>
      </c>
      <c r="C17" s="1">
        <v>44873</v>
      </c>
      <c r="D17" t="s">
        <v>18</v>
      </c>
      <c r="E17">
        <v>12.99</v>
      </c>
      <c r="F17">
        <v>569.66999999999996</v>
      </c>
      <c r="G17" s="4">
        <f t="shared" si="0"/>
        <v>7400.0132999999996</v>
      </c>
      <c r="H17" t="s">
        <v>15</v>
      </c>
      <c r="I17" t="s">
        <v>19</v>
      </c>
      <c r="J17" t="s">
        <v>20</v>
      </c>
      <c r="K17" t="s">
        <v>21</v>
      </c>
    </row>
    <row r="18" spans="1:11" x14ac:dyDescent="0.3">
      <c r="A18">
        <v>17</v>
      </c>
      <c r="B18">
        <v>10610</v>
      </c>
      <c r="C18" s="1">
        <v>44904</v>
      </c>
      <c r="D18" t="s">
        <v>18</v>
      </c>
      <c r="E18">
        <v>12.99</v>
      </c>
      <c r="F18">
        <v>569.66999999999996</v>
      </c>
      <c r="G18" s="4">
        <f t="shared" si="0"/>
        <v>7400.0132999999996</v>
      </c>
      <c r="H18" t="s">
        <v>9</v>
      </c>
      <c r="I18" t="s">
        <v>10</v>
      </c>
      <c r="J18" t="s">
        <v>30</v>
      </c>
      <c r="K18" t="s">
        <v>11</v>
      </c>
    </row>
    <row r="19" spans="1:11" x14ac:dyDescent="0.3">
      <c r="A19">
        <v>18</v>
      </c>
      <c r="B19">
        <v>10615</v>
      </c>
      <c r="C19" s="1">
        <v>44905</v>
      </c>
      <c r="D19" t="s">
        <v>18</v>
      </c>
      <c r="E19">
        <v>12.99</v>
      </c>
      <c r="F19">
        <v>569.66999999999996</v>
      </c>
      <c r="G19" s="4">
        <f t="shared" si="0"/>
        <v>7400.0132999999996</v>
      </c>
      <c r="H19" t="s">
        <v>9</v>
      </c>
      <c r="I19" t="s">
        <v>10</v>
      </c>
      <c r="J19" t="s">
        <v>30</v>
      </c>
      <c r="K19" t="s">
        <v>11</v>
      </c>
    </row>
    <row r="20" spans="1:11" x14ac:dyDescent="0.3">
      <c r="A20">
        <v>19</v>
      </c>
      <c r="B20">
        <v>10625</v>
      </c>
      <c r="C20" s="1">
        <v>44907</v>
      </c>
      <c r="D20" t="s">
        <v>18</v>
      </c>
      <c r="E20">
        <v>12.99</v>
      </c>
      <c r="F20">
        <v>569.66999999999996</v>
      </c>
      <c r="G20" s="4">
        <f t="shared" si="0"/>
        <v>7400.0132999999996</v>
      </c>
      <c r="H20" t="s">
        <v>9</v>
      </c>
      <c r="I20" t="s">
        <v>10</v>
      </c>
      <c r="J20" t="s">
        <v>30</v>
      </c>
      <c r="K20" t="s">
        <v>11</v>
      </c>
    </row>
    <row r="21" spans="1:11" x14ac:dyDescent="0.3">
      <c r="A21">
        <v>20</v>
      </c>
      <c r="B21">
        <v>10630</v>
      </c>
      <c r="C21" s="1">
        <v>44908</v>
      </c>
      <c r="D21" t="s">
        <v>18</v>
      </c>
      <c r="E21">
        <v>12.99</v>
      </c>
      <c r="F21">
        <v>569.66999999999996</v>
      </c>
      <c r="G21" s="4">
        <f t="shared" si="0"/>
        <v>7400.0132999999996</v>
      </c>
      <c r="H21" t="s">
        <v>9</v>
      </c>
      <c r="I21" t="s">
        <v>29</v>
      </c>
      <c r="J21" t="s">
        <v>27</v>
      </c>
      <c r="K21" t="s">
        <v>17</v>
      </c>
    </row>
    <row r="22" spans="1:11" x14ac:dyDescent="0.3">
      <c r="A22">
        <v>21</v>
      </c>
      <c r="B22">
        <v>10645</v>
      </c>
      <c r="C22" s="1">
        <v>44911</v>
      </c>
      <c r="D22" t="s">
        <v>18</v>
      </c>
      <c r="E22">
        <v>12.99</v>
      </c>
      <c r="F22">
        <v>569.66999999999996</v>
      </c>
      <c r="G22" s="4">
        <f t="shared" si="0"/>
        <v>7400.0132999999996</v>
      </c>
      <c r="H22" t="s">
        <v>9</v>
      </c>
      <c r="I22" t="s">
        <v>29</v>
      </c>
      <c r="J22" t="s">
        <v>27</v>
      </c>
      <c r="K22" t="s">
        <v>17</v>
      </c>
    </row>
    <row r="23" spans="1:11" x14ac:dyDescent="0.3">
      <c r="A23">
        <v>22</v>
      </c>
      <c r="B23">
        <v>10460</v>
      </c>
      <c r="C23" s="1">
        <v>44874</v>
      </c>
      <c r="D23" t="s">
        <v>18</v>
      </c>
      <c r="E23">
        <v>12.99</v>
      </c>
      <c r="F23">
        <v>554.27</v>
      </c>
      <c r="G23" s="4">
        <f t="shared" si="0"/>
        <v>7199.9673000000003</v>
      </c>
      <c r="H23" t="s">
        <v>15</v>
      </c>
      <c r="I23" t="s">
        <v>19</v>
      </c>
      <c r="J23" t="s">
        <v>24</v>
      </c>
      <c r="K23" t="s">
        <v>23</v>
      </c>
    </row>
    <row r="24" spans="1:11" x14ac:dyDescent="0.3">
      <c r="A24">
        <v>23</v>
      </c>
      <c r="B24">
        <v>10465</v>
      </c>
      <c r="C24" s="1">
        <v>44875</v>
      </c>
      <c r="D24" t="s">
        <v>18</v>
      </c>
      <c r="E24">
        <v>12.99</v>
      </c>
      <c r="F24">
        <v>554.27</v>
      </c>
      <c r="G24" s="4">
        <f t="shared" si="0"/>
        <v>7199.9673000000003</v>
      </c>
      <c r="H24" t="s">
        <v>15</v>
      </c>
      <c r="I24" t="s">
        <v>19</v>
      </c>
      <c r="J24" t="s">
        <v>25</v>
      </c>
      <c r="K24" t="s">
        <v>13</v>
      </c>
    </row>
    <row r="25" spans="1:11" x14ac:dyDescent="0.3">
      <c r="A25">
        <v>24</v>
      </c>
      <c r="B25">
        <v>10470</v>
      </c>
      <c r="C25" s="1">
        <v>44876</v>
      </c>
      <c r="D25" t="s">
        <v>18</v>
      </c>
      <c r="E25">
        <v>12.99</v>
      </c>
      <c r="F25">
        <v>554.27</v>
      </c>
      <c r="G25" s="4">
        <f t="shared" si="0"/>
        <v>7199.9673000000003</v>
      </c>
      <c r="H25" t="s">
        <v>15</v>
      </c>
      <c r="I25" t="s">
        <v>19</v>
      </c>
      <c r="J25" t="s">
        <v>53</v>
      </c>
      <c r="K25" t="s">
        <v>13</v>
      </c>
    </row>
    <row r="26" spans="1:11" x14ac:dyDescent="0.3">
      <c r="A26">
        <v>25</v>
      </c>
      <c r="B26">
        <v>10590</v>
      </c>
      <c r="C26" s="1">
        <v>44900</v>
      </c>
      <c r="D26" t="s">
        <v>18</v>
      </c>
      <c r="E26">
        <v>12.99</v>
      </c>
      <c r="F26">
        <v>554.27</v>
      </c>
      <c r="G26" s="4">
        <f t="shared" si="0"/>
        <v>7199.9673000000003</v>
      </c>
      <c r="H26" t="s">
        <v>9</v>
      </c>
      <c r="I26" t="s">
        <v>19</v>
      </c>
      <c r="J26" t="s">
        <v>30</v>
      </c>
      <c r="K26" t="s">
        <v>11</v>
      </c>
    </row>
    <row r="27" spans="1:11" x14ac:dyDescent="0.3">
      <c r="A27">
        <v>26</v>
      </c>
      <c r="B27">
        <v>10635</v>
      </c>
      <c r="C27" s="1">
        <v>44909</v>
      </c>
      <c r="D27" t="s">
        <v>18</v>
      </c>
      <c r="E27">
        <v>12.99</v>
      </c>
      <c r="F27">
        <v>554.27</v>
      </c>
      <c r="G27" s="4">
        <f t="shared" si="0"/>
        <v>7199.9673000000003</v>
      </c>
      <c r="H27" t="s">
        <v>9</v>
      </c>
      <c r="I27" t="s">
        <v>10</v>
      </c>
      <c r="J27" t="s">
        <v>27</v>
      </c>
      <c r="K27" t="s">
        <v>17</v>
      </c>
    </row>
    <row r="28" spans="1:11" x14ac:dyDescent="0.3">
      <c r="A28">
        <v>27</v>
      </c>
      <c r="B28">
        <v>10505</v>
      </c>
      <c r="C28" s="1">
        <v>44883</v>
      </c>
      <c r="D28" t="s">
        <v>18</v>
      </c>
      <c r="E28">
        <v>12.99</v>
      </c>
      <c r="F28">
        <v>538.88</v>
      </c>
      <c r="G28" s="4">
        <f t="shared" si="0"/>
        <v>7000.0511999999999</v>
      </c>
      <c r="H28" t="s">
        <v>28</v>
      </c>
      <c r="I28" t="s">
        <v>19</v>
      </c>
      <c r="J28" t="s">
        <v>25</v>
      </c>
      <c r="K28" t="s">
        <v>13</v>
      </c>
    </row>
    <row r="29" spans="1:11" x14ac:dyDescent="0.3">
      <c r="A29">
        <v>28</v>
      </c>
      <c r="B29">
        <v>10585</v>
      </c>
      <c r="C29" s="1">
        <v>44899</v>
      </c>
      <c r="D29" t="s">
        <v>18</v>
      </c>
      <c r="E29">
        <v>12.99</v>
      </c>
      <c r="F29">
        <v>538.88</v>
      </c>
      <c r="G29" s="4">
        <f t="shared" si="0"/>
        <v>7000.0511999999999</v>
      </c>
      <c r="H29" t="s">
        <v>9</v>
      </c>
      <c r="I29" t="s">
        <v>19</v>
      </c>
      <c r="J29" t="s">
        <v>30</v>
      </c>
      <c r="K29" t="s">
        <v>11</v>
      </c>
    </row>
    <row r="30" spans="1:11" x14ac:dyDescent="0.3">
      <c r="A30">
        <v>29</v>
      </c>
      <c r="B30">
        <v>10595</v>
      </c>
      <c r="C30" s="1">
        <v>44901</v>
      </c>
      <c r="D30" t="s">
        <v>18</v>
      </c>
      <c r="E30">
        <v>12.99</v>
      </c>
      <c r="F30">
        <v>538.88</v>
      </c>
      <c r="G30" s="4">
        <f t="shared" si="0"/>
        <v>7000.0511999999999</v>
      </c>
      <c r="H30" t="s">
        <v>9</v>
      </c>
      <c r="I30" t="s">
        <v>19</v>
      </c>
      <c r="J30" t="s">
        <v>30</v>
      </c>
      <c r="K30" t="s">
        <v>11</v>
      </c>
    </row>
    <row r="31" spans="1:11" x14ac:dyDescent="0.3">
      <c r="A31">
        <v>30</v>
      </c>
      <c r="B31">
        <v>10605</v>
      </c>
      <c r="C31" s="1">
        <v>44903</v>
      </c>
      <c r="D31" t="s">
        <v>18</v>
      </c>
      <c r="E31">
        <v>12.99</v>
      </c>
      <c r="F31">
        <v>538.88</v>
      </c>
      <c r="G31" s="4">
        <f t="shared" si="0"/>
        <v>7000.0511999999999</v>
      </c>
      <c r="H31" t="s">
        <v>9</v>
      </c>
      <c r="I31" t="s">
        <v>29</v>
      </c>
      <c r="J31" t="s">
        <v>30</v>
      </c>
      <c r="K31" t="s">
        <v>11</v>
      </c>
    </row>
    <row r="32" spans="1:11" x14ac:dyDescent="0.3">
      <c r="A32">
        <v>31</v>
      </c>
      <c r="B32">
        <v>10640</v>
      </c>
      <c r="C32" s="1">
        <v>44910</v>
      </c>
      <c r="D32" t="s">
        <v>18</v>
      </c>
      <c r="E32">
        <v>12.99</v>
      </c>
      <c r="F32">
        <v>538.88</v>
      </c>
      <c r="G32" s="4">
        <f t="shared" si="0"/>
        <v>7000.0511999999999</v>
      </c>
      <c r="H32" t="s">
        <v>9</v>
      </c>
      <c r="I32" t="s">
        <v>10</v>
      </c>
      <c r="J32" t="s">
        <v>27</v>
      </c>
      <c r="K32" t="s">
        <v>17</v>
      </c>
    </row>
    <row r="33" spans="1:11" x14ac:dyDescent="0.3">
      <c r="A33">
        <v>32</v>
      </c>
      <c r="B33">
        <v>10475</v>
      </c>
      <c r="C33" s="1">
        <v>44877</v>
      </c>
      <c r="D33" t="s">
        <v>18</v>
      </c>
      <c r="E33">
        <v>12.99</v>
      </c>
      <c r="F33">
        <v>523.48</v>
      </c>
      <c r="G33" s="4">
        <f t="shared" si="0"/>
        <v>6800.0052000000005</v>
      </c>
      <c r="H33" t="s">
        <v>15</v>
      </c>
      <c r="I33" t="s">
        <v>19</v>
      </c>
      <c r="J33" t="s">
        <v>53</v>
      </c>
      <c r="K33" t="s">
        <v>13</v>
      </c>
    </row>
    <row r="34" spans="1:11" x14ac:dyDescent="0.3">
      <c r="A34">
        <v>33</v>
      </c>
      <c r="B34">
        <v>10500</v>
      </c>
      <c r="C34" s="1">
        <v>44882</v>
      </c>
      <c r="D34" t="s">
        <v>18</v>
      </c>
      <c r="E34">
        <v>12.99</v>
      </c>
      <c r="F34">
        <v>523.48</v>
      </c>
      <c r="G34" s="4">
        <f t="shared" si="0"/>
        <v>6800.0052000000005</v>
      </c>
      <c r="H34" t="s">
        <v>28</v>
      </c>
      <c r="I34" t="s">
        <v>19</v>
      </c>
      <c r="J34" t="s">
        <v>25</v>
      </c>
      <c r="K34" t="s">
        <v>13</v>
      </c>
    </row>
    <row r="35" spans="1:11" x14ac:dyDescent="0.3">
      <c r="A35">
        <v>34</v>
      </c>
      <c r="B35">
        <v>10485</v>
      </c>
      <c r="C35" s="1">
        <v>44879</v>
      </c>
      <c r="D35" t="s">
        <v>18</v>
      </c>
      <c r="E35">
        <v>12.99</v>
      </c>
      <c r="F35">
        <v>523.48</v>
      </c>
      <c r="G35" s="4">
        <f t="shared" si="0"/>
        <v>6800.0052000000005</v>
      </c>
      <c r="H35" t="s">
        <v>15</v>
      </c>
      <c r="I35" t="s">
        <v>19</v>
      </c>
      <c r="J35" t="s">
        <v>27</v>
      </c>
      <c r="K35" t="s">
        <v>17</v>
      </c>
    </row>
    <row r="36" spans="1:11" x14ac:dyDescent="0.3">
      <c r="A36">
        <v>35</v>
      </c>
      <c r="B36">
        <v>10575</v>
      </c>
      <c r="C36" s="1">
        <v>44897</v>
      </c>
      <c r="D36" t="s">
        <v>18</v>
      </c>
      <c r="E36">
        <v>12.99</v>
      </c>
      <c r="F36">
        <v>523.48</v>
      </c>
      <c r="G36" s="4">
        <f t="shared" si="0"/>
        <v>6800.0052000000005</v>
      </c>
      <c r="H36" t="s">
        <v>9</v>
      </c>
      <c r="I36" t="s">
        <v>19</v>
      </c>
      <c r="J36" t="s">
        <v>24</v>
      </c>
      <c r="K36" t="s">
        <v>23</v>
      </c>
    </row>
    <row r="37" spans="1:11" x14ac:dyDescent="0.3">
      <c r="A37">
        <v>36</v>
      </c>
      <c r="B37">
        <v>10580</v>
      </c>
      <c r="C37" s="1">
        <v>44898</v>
      </c>
      <c r="D37" t="s">
        <v>18</v>
      </c>
      <c r="E37">
        <v>12.99</v>
      </c>
      <c r="F37">
        <v>523.48</v>
      </c>
      <c r="G37" s="4">
        <f t="shared" si="0"/>
        <v>6800.0052000000005</v>
      </c>
      <c r="H37" t="s">
        <v>9</v>
      </c>
      <c r="I37" t="s">
        <v>19</v>
      </c>
      <c r="J37" t="s">
        <v>24</v>
      </c>
      <c r="K37" t="s">
        <v>23</v>
      </c>
    </row>
    <row r="38" spans="1:11" x14ac:dyDescent="0.3">
      <c r="A38">
        <v>37</v>
      </c>
      <c r="B38">
        <v>10600</v>
      </c>
      <c r="C38" s="1">
        <v>44902</v>
      </c>
      <c r="D38" t="s">
        <v>18</v>
      </c>
      <c r="E38">
        <v>12.99</v>
      </c>
      <c r="F38">
        <v>523.48</v>
      </c>
      <c r="G38" s="4">
        <f t="shared" si="0"/>
        <v>6800.0052000000005</v>
      </c>
      <c r="H38" t="s">
        <v>9</v>
      </c>
      <c r="I38" t="s">
        <v>19</v>
      </c>
      <c r="J38" t="s">
        <v>30</v>
      </c>
      <c r="K38" t="s">
        <v>11</v>
      </c>
    </row>
    <row r="39" spans="1:11" x14ac:dyDescent="0.3">
      <c r="A39">
        <v>38</v>
      </c>
      <c r="B39">
        <v>10480</v>
      </c>
      <c r="C39" s="1">
        <v>44878</v>
      </c>
      <c r="D39" t="s">
        <v>18</v>
      </c>
      <c r="E39">
        <v>12.99</v>
      </c>
      <c r="F39">
        <v>508.08</v>
      </c>
      <c r="G39" s="4">
        <f t="shared" si="0"/>
        <v>6599.9592000000002</v>
      </c>
      <c r="H39" t="s">
        <v>15</v>
      </c>
      <c r="I39" t="s">
        <v>19</v>
      </c>
      <c r="J39" t="s">
        <v>25</v>
      </c>
      <c r="K39" t="s">
        <v>13</v>
      </c>
    </row>
    <row r="40" spans="1:11" x14ac:dyDescent="0.3">
      <c r="A40">
        <v>39</v>
      </c>
      <c r="B40">
        <v>10490</v>
      </c>
      <c r="C40" s="1">
        <v>44880</v>
      </c>
      <c r="D40" t="s">
        <v>18</v>
      </c>
      <c r="E40">
        <v>12.99</v>
      </c>
      <c r="F40">
        <v>508.08</v>
      </c>
      <c r="G40" s="4">
        <f t="shared" si="0"/>
        <v>6599.9592000000002</v>
      </c>
      <c r="H40" t="s">
        <v>15</v>
      </c>
      <c r="I40" t="s">
        <v>19</v>
      </c>
      <c r="J40" t="s">
        <v>25</v>
      </c>
      <c r="K40" t="s">
        <v>13</v>
      </c>
    </row>
    <row r="41" spans="1:11" x14ac:dyDescent="0.3">
      <c r="A41">
        <v>40</v>
      </c>
      <c r="B41">
        <v>10495</v>
      </c>
      <c r="C41" s="1">
        <v>44881</v>
      </c>
      <c r="D41" t="s">
        <v>18</v>
      </c>
      <c r="E41">
        <v>12.99</v>
      </c>
      <c r="F41">
        <v>508.08</v>
      </c>
      <c r="G41" s="4">
        <f t="shared" si="0"/>
        <v>6599.9592000000002</v>
      </c>
      <c r="H41" t="s">
        <v>15</v>
      </c>
      <c r="I41" t="s">
        <v>19</v>
      </c>
      <c r="J41" t="s">
        <v>25</v>
      </c>
      <c r="K41" t="s">
        <v>13</v>
      </c>
    </row>
    <row r="42" spans="1:11" x14ac:dyDescent="0.3">
      <c r="A42">
        <v>41</v>
      </c>
      <c r="B42">
        <v>10510</v>
      </c>
      <c r="C42" s="1">
        <v>44884</v>
      </c>
      <c r="D42" t="s">
        <v>18</v>
      </c>
      <c r="E42">
        <v>12.99</v>
      </c>
      <c r="F42">
        <v>508.08</v>
      </c>
      <c r="G42" s="4">
        <f t="shared" si="0"/>
        <v>6599.9592000000002</v>
      </c>
      <c r="H42" t="s">
        <v>28</v>
      </c>
      <c r="I42" t="s">
        <v>19</v>
      </c>
      <c r="J42" t="s">
        <v>25</v>
      </c>
      <c r="K42" t="s">
        <v>13</v>
      </c>
    </row>
    <row r="43" spans="1:11" x14ac:dyDescent="0.3">
      <c r="A43">
        <v>42</v>
      </c>
      <c r="B43">
        <v>10520</v>
      </c>
      <c r="C43" s="1">
        <v>44886</v>
      </c>
      <c r="D43" t="s">
        <v>18</v>
      </c>
      <c r="E43">
        <v>12.99</v>
      </c>
      <c r="F43">
        <v>492.69</v>
      </c>
      <c r="G43" s="4">
        <f t="shared" si="0"/>
        <v>6400.0430999999999</v>
      </c>
      <c r="H43" t="s">
        <v>28</v>
      </c>
      <c r="I43" t="s">
        <v>29</v>
      </c>
      <c r="J43" t="s">
        <v>24</v>
      </c>
      <c r="K43" t="s">
        <v>23</v>
      </c>
    </row>
    <row r="44" spans="1:11" x14ac:dyDescent="0.3">
      <c r="A44">
        <v>43</v>
      </c>
      <c r="B44">
        <v>10565</v>
      </c>
      <c r="C44" s="1">
        <v>44895</v>
      </c>
      <c r="D44" t="s">
        <v>18</v>
      </c>
      <c r="E44">
        <v>12.99</v>
      </c>
      <c r="F44">
        <v>492.69</v>
      </c>
      <c r="G44" s="4">
        <f t="shared" si="0"/>
        <v>6400.0430999999999</v>
      </c>
      <c r="H44" t="s">
        <v>9</v>
      </c>
      <c r="I44" t="s">
        <v>19</v>
      </c>
      <c r="J44" t="s">
        <v>30</v>
      </c>
      <c r="K44" t="s">
        <v>11</v>
      </c>
    </row>
    <row r="45" spans="1:11" x14ac:dyDescent="0.3">
      <c r="A45">
        <v>44</v>
      </c>
      <c r="B45">
        <v>10570</v>
      </c>
      <c r="C45" s="1">
        <v>44896</v>
      </c>
      <c r="D45" t="s">
        <v>18</v>
      </c>
      <c r="E45">
        <v>12.99</v>
      </c>
      <c r="F45">
        <v>492.69</v>
      </c>
      <c r="G45" s="4">
        <f t="shared" si="0"/>
        <v>6400.0430999999999</v>
      </c>
      <c r="H45" t="s">
        <v>9</v>
      </c>
      <c r="I45" t="s">
        <v>19</v>
      </c>
      <c r="J45" t="s">
        <v>30</v>
      </c>
      <c r="K45" t="s">
        <v>11</v>
      </c>
    </row>
    <row r="46" spans="1:11" x14ac:dyDescent="0.3">
      <c r="A46">
        <v>45</v>
      </c>
      <c r="B46">
        <v>10515</v>
      </c>
      <c r="C46" s="1">
        <v>44885</v>
      </c>
      <c r="D46" t="s">
        <v>18</v>
      </c>
      <c r="E46">
        <v>12.99</v>
      </c>
      <c r="F46">
        <v>477.29</v>
      </c>
      <c r="G46" s="4">
        <f t="shared" si="0"/>
        <v>6199.9971000000005</v>
      </c>
      <c r="H46" t="s">
        <v>28</v>
      </c>
      <c r="I46" t="s">
        <v>29</v>
      </c>
      <c r="J46" t="s">
        <v>27</v>
      </c>
      <c r="K46" t="s">
        <v>17</v>
      </c>
    </row>
    <row r="47" spans="1:11" x14ac:dyDescent="0.3">
      <c r="A47">
        <v>46</v>
      </c>
      <c r="B47">
        <v>10530</v>
      </c>
      <c r="C47" s="1">
        <v>44888</v>
      </c>
      <c r="D47" t="s">
        <v>18</v>
      </c>
      <c r="E47">
        <v>12.99</v>
      </c>
      <c r="F47">
        <v>477.29</v>
      </c>
      <c r="G47" s="4">
        <f t="shared" si="0"/>
        <v>6199.9971000000005</v>
      </c>
      <c r="H47" t="s">
        <v>28</v>
      </c>
      <c r="I47" t="s">
        <v>29</v>
      </c>
      <c r="J47" t="s">
        <v>24</v>
      </c>
      <c r="K47" t="s">
        <v>23</v>
      </c>
    </row>
    <row r="48" spans="1:11" x14ac:dyDescent="0.3">
      <c r="A48">
        <v>47</v>
      </c>
      <c r="B48">
        <v>10535</v>
      </c>
      <c r="C48" s="1">
        <v>44889</v>
      </c>
      <c r="D48" t="s">
        <v>18</v>
      </c>
      <c r="E48">
        <v>12.99</v>
      </c>
      <c r="F48">
        <v>477.29</v>
      </c>
      <c r="G48" s="4">
        <f t="shared" si="0"/>
        <v>6199.9971000000005</v>
      </c>
      <c r="H48" t="s">
        <v>28</v>
      </c>
      <c r="I48" t="s">
        <v>19</v>
      </c>
      <c r="J48" t="s">
        <v>25</v>
      </c>
      <c r="K48" t="s">
        <v>13</v>
      </c>
    </row>
    <row r="49" spans="1:11" x14ac:dyDescent="0.3">
      <c r="A49">
        <v>48</v>
      </c>
      <c r="B49">
        <v>10555</v>
      </c>
      <c r="C49" s="1">
        <v>44893</v>
      </c>
      <c r="D49" t="s">
        <v>18</v>
      </c>
      <c r="E49">
        <v>12.99</v>
      </c>
      <c r="F49">
        <v>477.29</v>
      </c>
      <c r="G49" s="4">
        <f t="shared" si="0"/>
        <v>6199.9971000000005</v>
      </c>
      <c r="H49" t="s">
        <v>9</v>
      </c>
      <c r="I49" t="s">
        <v>19</v>
      </c>
      <c r="J49" t="s">
        <v>30</v>
      </c>
      <c r="K49" t="s">
        <v>11</v>
      </c>
    </row>
    <row r="50" spans="1:11" x14ac:dyDescent="0.3">
      <c r="A50">
        <v>49</v>
      </c>
      <c r="B50">
        <v>10560</v>
      </c>
      <c r="C50" s="1">
        <v>44894</v>
      </c>
      <c r="D50" t="s">
        <v>18</v>
      </c>
      <c r="E50">
        <v>12.99</v>
      </c>
      <c r="F50">
        <v>477.29</v>
      </c>
      <c r="G50" s="4">
        <f t="shared" si="0"/>
        <v>6199.9971000000005</v>
      </c>
      <c r="H50" t="s">
        <v>9</v>
      </c>
      <c r="I50" t="s">
        <v>19</v>
      </c>
      <c r="J50" t="s">
        <v>30</v>
      </c>
      <c r="K50" t="s">
        <v>11</v>
      </c>
    </row>
    <row r="51" spans="1:11" x14ac:dyDescent="0.3">
      <c r="A51">
        <v>50</v>
      </c>
      <c r="B51">
        <v>10525</v>
      </c>
      <c r="C51" s="1">
        <v>44887</v>
      </c>
      <c r="D51" t="s">
        <v>18</v>
      </c>
      <c r="E51">
        <v>12.99</v>
      </c>
      <c r="F51">
        <v>461.89</v>
      </c>
      <c r="G51" s="4">
        <f t="shared" si="0"/>
        <v>5999.9511000000002</v>
      </c>
      <c r="H51" t="s">
        <v>28</v>
      </c>
      <c r="I51" t="s">
        <v>29</v>
      </c>
      <c r="J51" t="s">
        <v>24</v>
      </c>
      <c r="K51" t="s">
        <v>23</v>
      </c>
    </row>
    <row r="52" spans="1:11" x14ac:dyDescent="0.3">
      <c r="A52">
        <v>51</v>
      </c>
      <c r="B52">
        <v>10540</v>
      </c>
      <c r="C52" s="1">
        <v>44890</v>
      </c>
      <c r="D52" t="s">
        <v>18</v>
      </c>
      <c r="E52">
        <v>12.99</v>
      </c>
      <c r="F52">
        <v>461.89</v>
      </c>
      <c r="G52" s="4">
        <f t="shared" si="0"/>
        <v>5999.9511000000002</v>
      </c>
      <c r="H52" t="s">
        <v>28</v>
      </c>
      <c r="I52" t="s">
        <v>19</v>
      </c>
      <c r="J52" t="s">
        <v>25</v>
      </c>
      <c r="K52" t="s">
        <v>13</v>
      </c>
    </row>
    <row r="53" spans="1:11" x14ac:dyDescent="0.3">
      <c r="A53">
        <v>52</v>
      </c>
      <c r="B53">
        <v>10550</v>
      </c>
      <c r="C53" s="1">
        <v>44892</v>
      </c>
      <c r="D53" t="s">
        <v>18</v>
      </c>
      <c r="E53">
        <v>12.99</v>
      </c>
      <c r="F53">
        <v>461.89</v>
      </c>
      <c r="G53" s="4">
        <f t="shared" si="0"/>
        <v>5999.9511000000002</v>
      </c>
      <c r="H53" t="s">
        <v>28</v>
      </c>
      <c r="I53" t="s">
        <v>19</v>
      </c>
      <c r="J53" t="s">
        <v>30</v>
      </c>
      <c r="K53" t="s">
        <v>11</v>
      </c>
    </row>
    <row r="54" spans="1:11" x14ac:dyDescent="0.3">
      <c r="A54">
        <v>53</v>
      </c>
      <c r="B54">
        <v>10486</v>
      </c>
      <c r="C54" s="1">
        <v>44879</v>
      </c>
      <c r="D54" t="s">
        <v>22</v>
      </c>
      <c r="E54">
        <v>29.05</v>
      </c>
      <c r="F54">
        <v>201.01</v>
      </c>
      <c r="G54" s="4">
        <f t="shared" si="0"/>
        <v>5839.3405000000002</v>
      </c>
      <c r="H54" t="s">
        <v>15</v>
      </c>
      <c r="I54" t="s">
        <v>19</v>
      </c>
      <c r="J54" t="s">
        <v>27</v>
      </c>
      <c r="K54" t="s">
        <v>17</v>
      </c>
    </row>
    <row r="55" spans="1:11" x14ac:dyDescent="0.3">
      <c r="A55">
        <v>54</v>
      </c>
      <c r="B55">
        <v>10545</v>
      </c>
      <c r="C55" s="1">
        <v>44891</v>
      </c>
      <c r="D55" t="s">
        <v>18</v>
      </c>
      <c r="E55">
        <v>12.99</v>
      </c>
      <c r="F55">
        <v>446.5</v>
      </c>
      <c r="G55" s="4">
        <f t="shared" si="0"/>
        <v>5800.0349999999999</v>
      </c>
      <c r="H55" t="s">
        <v>28</v>
      </c>
      <c r="I55" t="s">
        <v>19</v>
      </c>
      <c r="J55" t="s">
        <v>30</v>
      </c>
      <c r="K55" t="s">
        <v>11</v>
      </c>
    </row>
    <row r="56" spans="1:11" x14ac:dyDescent="0.3">
      <c r="A56">
        <v>55</v>
      </c>
      <c r="B56">
        <v>10706</v>
      </c>
      <c r="C56" s="1">
        <v>44923</v>
      </c>
      <c r="D56" t="s">
        <v>22</v>
      </c>
      <c r="E56">
        <v>9.9499999999999993</v>
      </c>
      <c r="F56">
        <v>301.51</v>
      </c>
      <c r="G56" s="4">
        <f t="shared" si="0"/>
        <v>3000.0244999999995</v>
      </c>
      <c r="H56" t="s">
        <v>28</v>
      </c>
      <c r="I56" t="s">
        <v>10</v>
      </c>
      <c r="J56" t="s">
        <v>20</v>
      </c>
      <c r="K56" t="s">
        <v>21</v>
      </c>
    </row>
    <row r="57" spans="1:11" x14ac:dyDescent="0.3">
      <c r="A57">
        <v>56</v>
      </c>
      <c r="B57">
        <v>10696</v>
      </c>
      <c r="C57" s="1">
        <v>44921</v>
      </c>
      <c r="D57" t="s">
        <v>22</v>
      </c>
      <c r="E57">
        <v>9.9499999999999993</v>
      </c>
      <c r="F57">
        <v>281.41000000000003</v>
      </c>
      <c r="G57" s="4">
        <f t="shared" si="0"/>
        <v>2800.0295000000001</v>
      </c>
      <c r="H57" t="s">
        <v>15</v>
      </c>
      <c r="I57" t="s">
        <v>29</v>
      </c>
      <c r="J57" t="s">
        <v>20</v>
      </c>
      <c r="K57" t="s">
        <v>21</v>
      </c>
    </row>
    <row r="58" spans="1:11" x14ac:dyDescent="0.3">
      <c r="A58">
        <v>57</v>
      </c>
      <c r="B58">
        <v>10701</v>
      </c>
      <c r="C58" s="1">
        <v>44922</v>
      </c>
      <c r="D58" t="s">
        <v>22</v>
      </c>
      <c r="E58">
        <v>9.9499999999999993</v>
      </c>
      <c r="F58">
        <v>281.41000000000003</v>
      </c>
      <c r="G58" s="4">
        <f t="shared" si="0"/>
        <v>2800.0295000000001</v>
      </c>
      <c r="H58" t="s">
        <v>15</v>
      </c>
      <c r="I58" t="s">
        <v>29</v>
      </c>
      <c r="J58" t="s">
        <v>20</v>
      </c>
      <c r="K58" t="s">
        <v>21</v>
      </c>
    </row>
    <row r="59" spans="1:11" x14ac:dyDescent="0.3">
      <c r="A59">
        <v>58</v>
      </c>
      <c r="B59">
        <v>10711</v>
      </c>
      <c r="C59" s="1">
        <v>44924</v>
      </c>
      <c r="D59" t="s">
        <v>22</v>
      </c>
      <c r="E59">
        <v>9.9499999999999993</v>
      </c>
      <c r="F59">
        <v>281.41000000000003</v>
      </c>
      <c r="G59" s="4">
        <f t="shared" si="0"/>
        <v>2800.0295000000001</v>
      </c>
      <c r="H59" t="s">
        <v>28</v>
      </c>
      <c r="I59" t="s">
        <v>10</v>
      </c>
      <c r="J59" t="s">
        <v>20</v>
      </c>
      <c r="K59" t="s">
        <v>21</v>
      </c>
    </row>
    <row r="60" spans="1:11" x14ac:dyDescent="0.3">
      <c r="A60">
        <v>59</v>
      </c>
      <c r="B60">
        <v>10691</v>
      </c>
      <c r="C60" s="1">
        <v>44920</v>
      </c>
      <c r="D60" t="s">
        <v>22</v>
      </c>
      <c r="E60">
        <v>9.9499999999999993</v>
      </c>
      <c r="F60">
        <v>261.31</v>
      </c>
      <c r="G60" s="4">
        <f t="shared" si="0"/>
        <v>2600.0344999999998</v>
      </c>
      <c r="H60" t="s">
        <v>15</v>
      </c>
      <c r="I60" t="s">
        <v>29</v>
      </c>
      <c r="J60" t="s">
        <v>20</v>
      </c>
      <c r="K60" t="s">
        <v>21</v>
      </c>
    </row>
    <row r="61" spans="1:11" x14ac:dyDescent="0.3">
      <c r="A61">
        <v>60</v>
      </c>
      <c r="B61">
        <v>10676</v>
      </c>
      <c r="C61" s="1">
        <v>44917</v>
      </c>
      <c r="D61" t="s">
        <v>22</v>
      </c>
      <c r="E61">
        <v>9.9499999999999993</v>
      </c>
      <c r="F61">
        <v>241.21</v>
      </c>
      <c r="G61" s="4">
        <f t="shared" si="0"/>
        <v>2400.0394999999999</v>
      </c>
      <c r="H61" t="s">
        <v>15</v>
      </c>
      <c r="I61" t="s">
        <v>29</v>
      </c>
      <c r="J61" t="s">
        <v>27</v>
      </c>
      <c r="K61" t="s">
        <v>17</v>
      </c>
    </row>
    <row r="62" spans="1:11" x14ac:dyDescent="0.3">
      <c r="A62">
        <v>61</v>
      </c>
      <c r="B62">
        <v>10681</v>
      </c>
      <c r="C62" s="1">
        <v>44918</v>
      </c>
      <c r="D62" t="s">
        <v>22</v>
      </c>
      <c r="E62">
        <v>9.9499999999999993</v>
      </c>
      <c r="F62">
        <v>241.21</v>
      </c>
      <c r="G62" s="4">
        <f t="shared" si="0"/>
        <v>2400.0394999999999</v>
      </c>
      <c r="H62" t="s">
        <v>15</v>
      </c>
      <c r="I62" t="s">
        <v>29</v>
      </c>
      <c r="J62" t="s">
        <v>27</v>
      </c>
      <c r="K62" t="s">
        <v>17</v>
      </c>
    </row>
    <row r="63" spans="1:11" x14ac:dyDescent="0.3">
      <c r="A63">
        <v>62</v>
      </c>
      <c r="B63">
        <v>10686</v>
      </c>
      <c r="C63" s="1">
        <v>44919</v>
      </c>
      <c r="D63" t="s">
        <v>22</v>
      </c>
      <c r="E63">
        <v>9.9499999999999993</v>
      </c>
      <c r="F63">
        <v>241.21</v>
      </c>
      <c r="G63" s="4">
        <f t="shared" si="0"/>
        <v>2400.0394999999999</v>
      </c>
      <c r="H63" t="s">
        <v>15</v>
      </c>
      <c r="I63" t="s">
        <v>29</v>
      </c>
      <c r="J63" t="s">
        <v>27</v>
      </c>
      <c r="K63" t="s">
        <v>17</v>
      </c>
    </row>
    <row r="64" spans="1:11" x14ac:dyDescent="0.3">
      <c r="A64">
        <v>63</v>
      </c>
      <c r="B64">
        <v>10507</v>
      </c>
      <c r="C64" s="1">
        <v>44883</v>
      </c>
      <c r="D64" t="s">
        <v>8</v>
      </c>
      <c r="E64">
        <v>3.49</v>
      </c>
      <c r="F64">
        <v>687.68</v>
      </c>
      <c r="G64" s="4">
        <f t="shared" si="0"/>
        <v>2400.0032000000001</v>
      </c>
      <c r="H64" t="s">
        <v>28</v>
      </c>
      <c r="I64" t="s">
        <v>19</v>
      </c>
      <c r="J64" t="s">
        <v>25</v>
      </c>
      <c r="K64" t="s">
        <v>13</v>
      </c>
    </row>
    <row r="65" spans="1:11" x14ac:dyDescent="0.3">
      <c r="A65">
        <v>64</v>
      </c>
      <c r="B65">
        <v>10512</v>
      </c>
      <c r="C65" s="1">
        <v>44884</v>
      </c>
      <c r="D65" t="s">
        <v>8</v>
      </c>
      <c r="E65">
        <v>3.49</v>
      </c>
      <c r="F65">
        <v>687.68</v>
      </c>
      <c r="G65" s="4">
        <f t="shared" si="0"/>
        <v>2400.0032000000001</v>
      </c>
      <c r="H65" t="s">
        <v>28</v>
      </c>
      <c r="I65" t="s">
        <v>19</v>
      </c>
      <c r="J65" t="s">
        <v>27</v>
      </c>
      <c r="K65" t="s">
        <v>17</v>
      </c>
    </row>
    <row r="66" spans="1:11" x14ac:dyDescent="0.3">
      <c r="A66">
        <v>65</v>
      </c>
      <c r="B66">
        <v>10522</v>
      </c>
      <c r="C66" s="1">
        <v>44886</v>
      </c>
      <c r="D66" t="s">
        <v>8</v>
      </c>
      <c r="E66">
        <v>3.49</v>
      </c>
      <c r="F66">
        <v>687.68</v>
      </c>
      <c r="G66" s="4">
        <f t="shared" ref="G66:G129" si="1">E66*F66</f>
        <v>2400.0032000000001</v>
      </c>
      <c r="H66" t="s">
        <v>28</v>
      </c>
      <c r="I66" t="s">
        <v>29</v>
      </c>
      <c r="J66" t="s">
        <v>24</v>
      </c>
      <c r="K66" t="s">
        <v>23</v>
      </c>
    </row>
    <row r="67" spans="1:11" x14ac:dyDescent="0.3">
      <c r="A67">
        <v>66</v>
      </c>
      <c r="B67">
        <v>10527</v>
      </c>
      <c r="C67" s="1">
        <v>44887</v>
      </c>
      <c r="D67" t="s">
        <v>8</v>
      </c>
      <c r="E67">
        <v>3.49</v>
      </c>
      <c r="F67">
        <v>687.68</v>
      </c>
      <c r="G67" s="4">
        <f t="shared" si="1"/>
        <v>2400.0032000000001</v>
      </c>
      <c r="H67" t="s">
        <v>28</v>
      </c>
      <c r="I67" t="s">
        <v>29</v>
      </c>
      <c r="J67" t="s">
        <v>24</v>
      </c>
      <c r="K67" t="s">
        <v>23</v>
      </c>
    </row>
    <row r="68" spans="1:11" x14ac:dyDescent="0.3">
      <c r="A68">
        <v>67</v>
      </c>
      <c r="B68">
        <v>10532</v>
      </c>
      <c r="C68" s="1">
        <v>44888</v>
      </c>
      <c r="D68" t="s">
        <v>8</v>
      </c>
      <c r="E68">
        <v>3.49</v>
      </c>
      <c r="F68">
        <v>687.68</v>
      </c>
      <c r="G68" s="4">
        <f t="shared" si="1"/>
        <v>2400.0032000000001</v>
      </c>
      <c r="H68" t="s">
        <v>28</v>
      </c>
      <c r="I68" t="s">
        <v>29</v>
      </c>
      <c r="J68" t="s">
        <v>27</v>
      </c>
      <c r="K68" t="s">
        <v>17</v>
      </c>
    </row>
    <row r="69" spans="1:11" x14ac:dyDescent="0.3">
      <c r="A69">
        <v>68</v>
      </c>
      <c r="B69">
        <v>10652</v>
      </c>
      <c r="C69" s="1">
        <v>44912</v>
      </c>
      <c r="D69" t="s">
        <v>8</v>
      </c>
      <c r="E69">
        <v>3.49</v>
      </c>
      <c r="F69">
        <v>687.68</v>
      </c>
      <c r="G69" s="4">
        <f t="shared" si="1"/>
        <v>2400.0032000000001</v>
      </c>
      <c r="H69" t="s">
        <v>9</v>
      </c>
      <c r="I69" t="s">
        <v>10</v>
      </c>
      <c r="J69" t="s">
        <v>27</v>
      </c>
      <c r="K69" t="s">
        <v>17</v>
      </c>
    </row>
    <row r="70" spans="1:11" x14ac:dyDescent="0.3">
      <c r="A70">
        <v>69</v>
      </c>
      <c r="B70">
        <v>10657</v>
      </c>
      <c r="C70" s="1">
        <v>44913</v>
      </c>
      <c r="D70" t="s">
        <v>8</v>
      </c>
      <c r="E70">
        <v>3.49</v>
      </c>
      <c r="F70">
        <v>687.68</v>
      </c>
      <c r="G70" s="4">
        <f t="shared" si="1"/>
        <v>2400.0032000000001</v>
      </c>
      <c r="H70" t="s">
        <v>9</v>
      </c>
      <c r="I70" t="s">
        <v>10</v>
      </c>
      <c r="J70" t="s">
        <v>27</v>
      </c>
      <c r="K70" t="s">
        <v>17</v>
      </c>
    </row>
    <row r="71" spans="1:11" x14ac:dyDescent="0.3">
      <c r="A71">
        <v>70</v>
      </c>
      <c r="B71">
        <v>10636</v>
      </c>
      <c r="C71" s="1">
        <v>44909</v>
      </c>
      <c r="D71" t="s">
        <v>22</v>
      </c>
      <c r="E71">
        <v>9.9499999999999993</v>
      </c>
      <c r="F71">
        <v>221.11</v>
      </c>
      <c r="G71" s="4">
        <f t="shared" si="1"/>
        <v>2200.0445</v>
      </c>
      <c r="H71" t="s">
        <v>9</v>
      </c>
      <c r="I71" t="s">
        <v>10</v>
      </c>
      <c r="J71" t="s">
        <v>27</v>
      </c>
      <c r="K71" t="s">
        <v>17</v>
      </c>
    </row>
    <row r="72" spans="1:11" x14ac:dyDescent="0.3">
      <c r="A72">
        <v>71</v>
      </c>
      <c r="B72">
        <v>10641</v>
      </c>
      <c r="C72" s="1">
        <v>44910</v>
      </c>
      <c r="D72" t="s">
        <v>22</v>
      </c>
      <c r="E72">
        <v>9.9499999999999993</v>
      </c>
      <c r="F72">
        <v>221.11</v>
      </c>
      <c r="G72" s="4">
        <f t="shared" si="1"/>
        <v>2200.0445</v>
      </c>
      <c r="H72" t="s">
        <v>9</v>
      </c>
      <c r="I72" t="s">
        <v>10</v>
      </c>
      <c r="J72" t="s">
        <v>27</v>
      </c>
      <c r="K72" t="s">
        <v>17</v>
      </c>
    </row>
    <row r="73" spans="1:11" x14ac:dyDescent="0.3">
      <c r="A73">
        <v>72</v>
      </c>
      <c r="B73">
        <v>10646</v>
      </c>
      <c r="C73" s="1">
        <v>44911</v>
      </c>
      <c r="D73" t="s">
        <v>22</v>
      </c>
      <c r="E73">
        <v>9.9499999999999993</v>
      </c>
      <c r="F73">
        <v>221.11</v>
      </c>
      <c r="G73" s="4">
        <f t="shared" si="1"/>
        <v>2200.0445</v>
      </c>
      <c r="H73" t="s">
        <v>9</v>
      </c>
      <c r="I73" t="s">
        <v>29</v>
      </c>
      <c r="J73" t="s">
        <v>27</v>
      </c>
      <c r="K73" t="s">
        <v>17</v>
      </c>
    </row>
    <row r="74" spans="1:11" x14ac:dyDescent="0.3">
      <c r="A74">
        <v>73</v>
      </c>
      <c r="B74">
        <v>10651</v>
      </c>
      <c r="C74" s="1">
        <v>44912</v>
      </c>
      <c r="D74" t="s">
        <v>22</v>
      </c>
      <c r="E74">
        <v>9.9499999999999993</v>
      </c>
      <c r="F74">
        <v>221.11</v>
      </c>
      <c r="G74" s="4">
        <f t="shared" si="1"/>
        <v>2200.0445</v>
      </c>
      <c r="H74" t="s">
        <v>9</v>
      </c>
      <c r="I74" t="s">
        <v>10</v>
      </c>
      <c r="J74" t="s">
        <v>27</v>
      </c>
      <c r="K74" t="s">
        <v>17</v>
      </c>
    </row>
    <row r="75" spans="1:11" x14ac:dyDescent="0.3">
      <c r="A75">
        <v>74</v>
      </c>
      <c r="B75">
        <v>10656</v>
      </c>
      <c r="C75" s="1">
        <v>44913</v>
      </c>
      <c r="D75" t="s">
        <v>22</v>
      </c>
      <c r="E75">
        <v>9.9499999999999993</v>
      </c>
      <c r="F75">
        <v>221.11</v>
      </c>
      <c r="G75" s="4">
        <f t="shared" si="1"/>
        <v>2200.0445</v>
      </c>
      <c r="H75" t="s">
        <v>9</v>
      </c>
      <c r="I75" t="s">
        <v>10</v>
      </c>
      <c r="J75" t="s">
        <v>27</v>
      </c>
      <c r="K75" t="s">
        <v>17</v>
      </c>
    </row>
    <row r="76" spans="1:11" x14ac:dyDescent="0.3">
      <c r="A76">
        <v>75</v>
      </c>
      <c r="B76">
        <v>10661</v>
      </c>
      <c r="C76" s="1">
        <v>44914</v>
      </c>
      <c r="D76" t="s">
        <v>22</v>
      </c>
      <c r="E76">
        <v>9.9499999999999993</v>
      </c>
      <c r="F76">
        <v>221.11</v>
      </c>
      <c r="G76" s="4">
        <f t="shared" si="1"/>
        <v>2200.0445</v>
      </c>
      <c r="H76" t="s">
        <v>15</v>
      </c>
      <c r="I76" t="s">
        <v>29</v>
      </c>
      <c r="J76" t="s">
        <v>27</v>
      </c>
      <c r="K76" t="s">
        <v>17</v>
      </c>
    </row>
    <row r="77" spans="1:11" x14ac:dyDescent="0.3">
      <c r="A77">
        <v>76</v>
      </c>
      <c r="B77">
        <v>10666</v>
      </c>
      <c r="C77" s="1">
        <v>44915</v>
      </c>
      <c r="D77" t="s">
        <v>22</v>
      </c>
      <c r="E77">
        <v>9.9499999999999993</v>
      </c>
      <c r="F77">
        <v>221.11</v>
      </c>
      <c r="G77" s="4">
        <f t="shared" si="1"/>
        <v>2200.0445</v>
      </c>
      <c r="H77" t="s">
        <v>15</v>
      </c>
      <c r="I77" t="s">
        <v>29</v>
      </c>
      <c r="J77" t="s">
        <v>27</v>
      </c>
      <c r="K77" t="s">
        <v>17</v>
      </c>
    </row>
    <row r="78" spans="1:11" x14ac:dyDescent="0.3">
      <c r="A78">
        <v>77</v>
      </c>
      <c r="B78">
        <v>10671</v>
      </c>
      <c r="C78" s="1">
        <v>44916</v>
      </c>
      <c r="D78" t="s">
        <v>22</v>
      </c>
      <c r="E78">
        <v>9.9499999999999993</v>
      </c>
      <c r="F78">
        <v>221.11</v>
      </c>
      <c r="G78" s="4">
        <f t="shared" si="1"/>
        <v>2200.0445</v>
      </c>
      <c r="H78" t="s">
        <v>15</v>
      </c>
      <c r="I78" t="s">
        <v>29</v>
      </c>
      <c r="J78" t="s">
        <v>27</v>
      </c>
      <c r="K78" t="s">
        <v>17</v>
      </c>
    </row>
    <row r="79" spans="1:11" x14ac:dyDescent="0.3">
      <c r="A79">
        <v>78</v>
      </c>
      <c r="B79">
        <v>10453</v>
      </c>
      <c r="C79" s="1">
        <v>44872</v>
      </c>
      <c r="D79" t="s">
        <v>12</v>
      </c>
      <c r="E79">
        <v>2.95</v>
      </c>
      <c r="F79">
        <v>745.76</v>
      </c>
      <c r="G79" s="4">
        <f t="shared" si="1"/>
        <v>2199.9920000000002</v>
      </c>
      <c r="H79" t="s">
        <v>9</v>
      </c>
      <c r="I79" t="s">
        <v>10</v>
      </c>
      <c r="J79" t="s">
        <v>53</v>
      </c>
      <c r="K79" t="s">
        <v>13</v>
      </c>
    </row>
    <row r="80" spans="1:11" x14ac:dyDescent="0.3">
      <c r="A80">
        <v>79</v>
      </c>
      <c r="B80">
        <v>10523</v>
      </c>
      <c r="C80" s="1">
        <v>44886</v>
      </c>
      <c r="D80" t="s">
        <v>12</v>
      </c>
      <c r="E80">
        <v>2.95</v>
      </c>
      <c r="F80">
        <v>745.76</v>
      </c>
      <c r="G80" s="4">
        <f t="shared" si="1"/>
        <v>2199.9920000000002</v>
      </c>
      <c r="H80" t="s">
        <v>28</v>
      </c>
      <c r="I80" t="s">
        <v>29</v>
      </c>
      <c r="J80" t="s">
        <v>24</v>
      </c>
      <c r="K80" t="s">
        <v>23</v>
      </c>
    </row>
    <row r="81" spans="1:11" x14ac:dyDescent="0.3">
      <c r="A81">
        <v>80</v>
      </c>
      <c r="B81">
        <v>10528</v>
      </c>
      <c r="C81" s="1">
        <v>44887</v>
      </c>
      <c r="D81" t="s">
        <v>12</v>
      </c>
      <c r="E81">
        <v>2.95</v>
      </c>
      <c r="F81">
        <v>745.76</v>
      </c>
      <c r="G81" s="4">
        <f t="shared" si="1"/>
        <v>2199.9920000000002</v>
      </c>
      <c r="H81" t="s">
        <v>28</v>
      </c>
      <c r="I81" t="s">
        <v>29</v>
      </c>
      <c r="J81" t="s">
        <v>24</v>
      </c>
      <c r="K81" t="s">
        <v>23</v>
      </c>
    </row>
    <row r="82" spans="1:11" x14ac:dyDescent="0.3">
      <c r="A82">
        <v>81</v>
      </c>
      <c r="B82">
        <v>10533</v>
      </c>
      <c r="C82" s="1">
        <v>44888</v>
      </c>
      <c r="D82" t="s">
        <v>12</v>
      </c>
      <c r="E82">
        <v>2.95</v>
      </c>
      <c r="F82">
        <v>745.76</v>
      </c>
      <c r="G82" s="4">
        <f t="shared" si="1"/>
        <v>2199.9920000000002</v>
      </c>
      <c r="H82" t="s">
        <v>28</v>
      </c>
      <c r="I82" t="s">
        <v>29</v>
      </c>
      <c r="J82" t="s">
        <v>27</v>
      </c>
      <c r="K82" t="s">
        <v>17</v>
      </c>
    </row>
    <row r="83" spans="1:11" x14ac:dyDescent="0.3">
      <c r="A83">
        <v>82</v>
      </c>
      <c r="B83">
        <v>10543</v>
      </c>
      <c r="C83" s="1">
        <v>44890</v>
      </c>
      <c r="D83" t="s">
        <v>12</v>
      </c>
      <c r="E83">
        <v>2.95</v>
      </c>
      <c r="F83">
        <v>745.76</v>
      </c>
      <c r="G83" s="4">
        <f t="shared" si="1"/>
        <v>2199.9920000000002</v>
      </c>
      <c r="H83" t="s">
        <v>28</v>
      </c>
      <c r="I83" t="s">
        <v>19</v>
      </c>
      <c r="J83" t="s">
        <v>30</v>
      </c>
      <c r="K83" t="s">
        <v>11</v>
      </c>
    </row>
    <row r="84" spans="1:11" x14ac:dyDescent="0.3">
      <c r="A84">
        <v>83</v>
      </c>
      <c r="B84">
        <v>10548</v>
      </c>
      <c r="C84" s="1">
        <v>44891</v>
      </c>
      <c r="D84" t="s">
        <v>12</v>
      </c>
      <c r="E84">
        <v>2.95</v>
      </c>
      <c r="F84">
        <v>745.76</v>
      </c>
      <c r="G84" s="4">
        <f t="shared" si="1"/>
        <v>2199.9920000000002</v>
      </c>
      <c r="H84" t="s">
        <v>28</v>
      </c>
      <c r="I84" t="s">
        <v>19</v>
      </c>
      <c r="J84" t="s">
        <v>30</v>
      </c>
      <c r="K84" t="s">
        <v>11</v>
      </c>
    </row>
    <row r="85" spans="1:11" x14ac:dyDescent="0.3">
      <c r="A85">
        <v>84</v>
      </c>
      <c r="B85">
        <v>10553</v>
      </c>
      <c r="C85" s="1">
        <v>44892</v>
      </c>
      <c r="D85" t="s">
        <v>12</v>
      </c>
      <c r="E85">
        <v>2.95</v>
      </c>
      <c r="F85">
        <v>745.76</v>
      </c>
      <c r="G85" s="4">
        <f t="shared" si="1"/>
        <v>2199.9920000000002</v>
      </c>
      <c r="H85" t="s">
        <v>9</v>
      </c>
      <c r="I85" t="s">
        <v>19</v>
      </c>
      <c r="J85" t="s">
        <v>30</v>
      </c>
      <c r="K85" t="s">
        <v>11</v>
      </c>
    </row>
    <row r="86" spans="1:11" x14ac:dyDescent="0.3">
      <c r="A86">
        <v>85</v>
      </c>
      <c r="B86">
        <v>10538</v>
      </c>
      <c r="C86" s="1">
        <v>44889</v>
      </c>
      <c r="D86" t="s">
        <v>12</v>
      </c>
      <c r="E86">
        <v>2.95</v>
      </c>
      <c r="F86">
        <v>745.76</v>
      </c>
      <c r="G86" s="4">
        <f t="shared" si="1"/>
        <v>2199.9920000000002</v>
      </c>
      <c r="H86" t="s">
        <v>28</v>
      </c>
      <c r="I86" t="s">
        <v>19</v>
      </c>
      <c r="J86" t="s">
        <v>25</v>
      </c>
      <c r="K86" t="s">
        <v>13</v>
      </c>
    </row>
    <row r="87" spans="1:11" x14ac:dyDescent="0.3">
      <c r="A87">
        <v>86</v>
      </c>
      <c r="B87">
        <v>10623</v>
      </c>
      <c r="C87" s="1">
        <v>44906</v>
      </c>
      <c r="D87" t="s">
        <v>12</v>
      </c>
      <c r="E87">
        <v>2.95</v>
      </c>
      <c r="F87">
        <v>745.76</v>
      </c>
      <c r="G87" s="4">
        <f t="shared" si="1"/>
        <v>2199.9920000000002</v>
      </c>
      <c r="H87" t="s">
        <v>9</v>
      </c>
      <c r="I87" t="s">
        <v>10</v>
      </c>
      <c r="J87" t="s">
        <v>30</v>
      </c>
      <c r="K87" t="s">
        <v>11</v>
      </c>
    </row>
    <row r="88" spans="1:11" x14ac:dyDescent="0.3">
      <c r="A88">
        <v>87</v>
      </c>
      <c r="B88">
        <v>10648</v>
      </c>
      <c r="C88" s="1">
        <v>44911</v>
      </c>
      <c r="D88" t="s">
        <v>12</v>
      </c>
      <c r="E88">
        <v>2.95</v>
      </c>
      <c r="F88">
        <v>745.76</v>
      </c>
      <c r="G88" s="4">
        <f t="shared" si="1"/>
        <v>2199.9920000000002</v>
      </c>
      <c r="H88" t="s">
        <v>9</v>
      </c>
      <c r="I88" t="s">
        <v>10</v>
      </c>
      <c r="J88" t="s">
        <v>27</v>
      </c>
      <c r="K88" t="s">
        <v>17</v>
      </c>
    </row>
    <row r="89" spans="1:11" x14ac:dyDescent="0.3">
      <c r="A89">
        <v>88</v>
      </c>
      <c r="B89">
        <v>10653</v>
      </c>
      <c r="C89" s="1">
        <v>44912</v>
      </c>
      <c r="D89" t="s">
        <v>12</v>
      </c>
      <c r="E89">
        <v>2.95</v>
      </c>
      <c r="F89">
        <v>745.76</v>
      </c>
      <c r="G89" s="4">
        <f t="shared" si="1"/>
        <v>2199.9920000000002</v>
      </c>
      <c r="H89" t="s">
        <v>9</v>
      </c>
      <c r="I89" t="s">
        <v>10</v>
      </c>
      <c r="J89" t="s">
        <v>27</v>
      </c>
      <c r="K89" t="s">
        <v>17</v>
      </c>
    </row>
    <row r="90" spans="1:11" x14ac:dyDescent="0.3">
      <c r="A90">
        <v>89</v>
      </c>
      <c r="B90">
        <v>10658</v>
      </c>
      <c r="C90" s="1">
        <v>44913</v>
      </c>
      <c r="D90" t="s">
        <v>12</v>
      </c>
      <c r="E90">
        <v>2.95</v>
      </c>
      <c r="F90">
        <v>745.76</v>
      </c>
      <c r="G90" s="4">
        <f t="shared" si="1"/>
        <v>2199.9920000000002</v>
      </c>
      <c r="H90" t="s">
        <v>9</v>
      </c>
      <c r="I90" t="s">
        <v>29</v>
      </c>
      <c r="J90" t="s">
        <v>27</v>
      </c>
      <c r="K90" t="s">
        <v>17</v>
      </c>
    </row>
    <row r="91" spans="1:11" x14ac:dyDescent="0.3">
      <c r="A91">
        <v>90</v>
      </c>
      <c r="B91">
        <v>10663</v>
      </c>
      <c r="C91" s="1">
        <v>44914</v>
      </c>
      <c r="D91" t="s">
        <v>12</v>
      </c>
      <c r="E91">
        <v>2.95</v>
      </c>
      <c r="F91">
        <v>745.76</v>
      </c>
      <c r="G91" s="4">
        <f t="shared" si="1"/>
        <v>2199.9920000000002</v>
      </c>
      <c r="H91" t="s">
        <v>15</v>
      </c>
      <c r="I91" t="s">
        <v>29</v>
      </c>
      <c r="J91" t="s">
        <v>27</v>
      </c>
      <c r="K91" t="s">
        <v>17</v>
      </c>
    </row>
    <row r="92" spans="1:11" x14ac:dyDescent="0.3">
      <c r="A92">
        <v>91</v>
      </c>
      <c r="B92">
        <v>10668</v>
      </c>
      <c r="C92" s="1">
        <v>44915</v>
      </c>
      <c r="D92" t="s">
        <v>12</v>
      </c>
      <c r="E92">
        <v>2.95</v>
      </c>
      <c r="F92">
        <v>745.76</v>
      </c>
      <c r="G92" s="4">
        <f t="shared" si="1"/>
        <v>2199.9920000000002</v>
      </c>
      <c r="H92" t="s">
        <v>15</v>
      </c>
      <c r="I92" t="s">
        <v>29</v>
      </c>
      <c r="J92" t="s">
        <v>27</v>
      </c>
      <c r="K92" t="s">
        <v>17</v>
      </c>
    </row>
    <row r="93" spans="1:11" x14ac:dyDescent="0.3">
      <c r="A93">
        <v>92</v>
      </c>
      <c r="B93">
        <v>10673</v>
      </c>
      <c r="C93" s="1">
        <v>44916</v>
      </c>
      <c r="D93" t="s">
        <v>12</v>
      </c>
      <c r="E93">
        <v>2.95</v>
      </c>
      <c r="F93">
        <v>745.76</v>
      </c>
      <c r="G93" s="4">
        <f t="shared" si="1"/>
        <v>2199.9920000000002</v>
      </c>
      <c r="H93" t="s">
        <v>15</v>
      </c>
      <c r="I93" t="s">
        <v>29</v>
      </c>
      <c r="J93" t="s">
        <v>27</v>
      </c>
      <c r="K93" t="s">
        <v>17</v>
      </c>
    </row>
    <row r="94" spans="1:11" x14ac:dyDescent="0.3">
      <c r="A94">
        <v>93</v>
      </c>
      <c r="B94">
        <v>10678</v>
      </c>
      <c r="C94" s="1">
        <v>44917</v>
      </c>
      <c r="D94" t="s">
        <v>12</v>
      </c>
      <c r="E94">
        <v>2.95</v>
      </c>
      <c r="F94">
        <v>745.76</v>
      </c>
      <c r="G94" s="4">
        <f t="shared" si="1"/>
        <v>2199.9920000000002</v>
      </c>
      <c r="H94" t="s">
        <v>15</v>
      </c>
      <c r="I94" t="s">
        <v>29</v>
      </c>
      <c r="J94" t="s">
        <v>27</v>
      </c>
      <c r="K94" t="s">
        <v>17</v>
      </c>
    </row>
    <row r="95" spans="1:11" x14ac:dyDescent="0.3">
      <c r="A95">
        <v>94</v>
      </c>
      <c r="B95">
        <v>10472</v>
      </c>
      <c r="C95" s="1">
        <v>44876</v>
      </c>
      <c r="D95" t="s">
        <v>8</v>
      </c>
      <c r="E95">
        <v>3.49</v>
      </c>
      <c r="F95">
        <v>630.37</v>
      </c>
      <c r="G95" s="4">
        <f t="shared" si="1"/>
        <v>2199.9913000000001</v>
      </c>
      <c r="H95" t="s">
        <v>15</v>
      </c>
      <c r="I95" t="s">
        <v>19</v>
      </c>
      <c r="J95" t="s">
        <v>25</v>
      </c>
      <c r="K95" t="s">
        <v>13</v>
      </c>
    </row>
    <row r="96" spans="1:11" x14ac:dyDescent="0.3">
      <c r="A96">
        <v>95</v>
      </c>
      <c r="B96">
        <v>10477</v>
      </c>
      <c r="C96" s="1">
        <v>44877</v>
      </c>
      <c r="D96" t="s">
        <v>8</v>
      </c>
      <c r="E96">
        <v>3.49</v>
      </c>
      <c r="F96">
        <v>630.37</v>
      </c>
      <c r="G96" s="4">
        <f t="shared" si="1"/>
        <v>2199.9913000000001</v>
      </c>
      <c r="H96" t="s">
        <v>15</v>
      </c>
      <c r="I96" t="s">
        <v>19</v>
      </c>
      <c r="J96" t="s">
        <v>26</v>
      </c>
      <c r="K96" t="s">
        <v>13</v>
      </c>
    </row>
    <row r="97" spans="1:11" x14ac:dyDescent="0.3">
      <c r="A97">
        <v>96</v>
      </c>
      <c r="B97">
        <v>10487</v>
      </c>
      <c r="C97" s="1">
        <v>44879</v>
      </c>
      <c r="D97" t="s">
        <v>8</v>
      </c>
      <c r="E97">
        <v>3.49</v>
      </c>
      <c r="F97">
        <v>630.37</v>
      </c>
      <c r="G97" s="4">
        <f t="shared" si="1"/>
        <v>2199.9913000000001</v>
      </c>
      <c r="H97" t="s">
        <v>15</v>
      </c>
      <c r="I97" t="s">
        <v>19</v>
      </c>
      <c r="J97" t="s">
        <v>27</v>
      </c>
      <c r="K97" t="s">
        <v>17</v>
      </c>
    </row>
    <row r="98" spans="1:11" x14ac:dyDescent="0.3">
      <c r="A98">
        <v>97</v>
      </c>
      <c r="B98">
        <v>10502</v>
      </c>
      <c r="C98" s="1">
        <v>44882</v>
      </c>
      <c r="D98" t="s">
        <v>8</v>
      </c>
      <c r="E98">
        <v>3.49</v>
      </c>
      <c r="F98">
        <v>630.37</v>
      </c>
      <c r="G98" s="4">
        <f t="shared" si="1"/>
        <v>2199.9913000000001</v>
      </c>
      <c r="H98" t="s">
        <v>28</v>
      </c>
      <c r="I98" t="s">
        <v>19</v>
      </c>
      <c r="J98" t="s">
        <v>25</v>
      </c>
      <c r="K98" t="s">
        <v>13</v>
      </c>
    </row>
    <row r="99" spans="1:11" x14ac:dyDescent="0.3">
      <c r="A99">
        <v>98</v>
      </c>
      <c r="B99">
        <v>10542</v>
      </c>
      <c r="C99" s="1">
        <v>44890</v>
      </c>
      <c r="D99" t="s">
        <v>8</v>
      </c>
      <c r="E99">
        <v>3.49</v>
      </c>
      <c r="F99">
        <v>630.37</v>
      </c>
      <c r="G99" s="4">
        <f t="shared" si="1"/>
        <v>2199.9913000000001</v>
      </c>
      <c r="H99" t="s">
        <v>28</v>
      </c>
      <c r="I99" t="s">
        <v>19</v>
      </c>
      <c r="J99" t="s">
        <v>30</v>
      </c>
      <c r="K99" t="s">
        <v>11</v>
      </c>
    </row>
    <row r="100" spans="1:11" x14ac:dyDescent="0.3">
      <c r="A100">
        <v>99</v>
      </c>
      <c r="B100">
        <v>10547</v>
      </c>
      <c r="C100" s="1">
        <v>44891</v>
      </c>
      <c r="D100" t="s">
        <v>8</v>
      </c>
      <c r="E100">
        <v>3.49</v>
      </c>
      <c r="F100">
        <v>630.37</v>
      </c>
      <c r="G100" s="4">
        <f t="shared" si="1"/>
        <v>2199.9913000000001</v>
      </c>
      <c r="H100" t="s">
        <v>28</v>
      </c>
      <c r="I100" t="s">
        <v>19</v>
      </c>
      <c r="J100" t="s">
        <v>30</v>
      </c>
      <c r="K100" t="s">
        <v>11</v>
      </c>
    </row>
    <row r="101" spans="1:11" x14ac:dyDescent="0.3">
      <c r="A101">
        <v>100</v>
      </c>
      <c r="B101">
        <v>10552</v>
      </c>
      <c r="C101" s="1">
        <v>44892</v>
      </c>
      <c r="D101" t="s">
        <v>8</v>
      </c>
      <c r="E101">
        <v>3.49</v>
      </c>
      <c r="F101">
        <v>630.37</v>
      </c>
      <c r="G101" s="4">
        <f t="shared" si="1"/>
        <v>2199.9913000000001</v>
      </c>
      <c r="H101" t="s">
        <v>9</v>
      </c>
      <c r="I101" t="s">
        <v>19</v>
      </c>
      <c r="J101" t="s">
        <v>30</v>
      </c>
      <c r="K101" t="s">
        <v>11</v>
      </c>
    </row>
    <row r="102" spans="1:11" x14ac:dyDescent="0.3">
      <c r="A102">
        <v>101</v>
      </c>
      <c r="B102">
        <v>10557</v>
      </c>
      <c r="C102" s="1">
        <v>44893</v>
      </c>
      <c r="D102" t="s">
        <v>8</v>
      </c>
      <c r="E102">
        <v>3.49</v>
      </c>
      <c r="F102">
        <v>630.37</v>
      </c>
      <c r="G102" s="4">
        <f t="shared" si="1"/>
        <v>2199.9913000000001</v>
      </c>
      <c r="H102" t="s">
        <v>9</v>
      </c>
      <c r="I102" t="s">
        <v>19</v>
      </c>
      <c r="J102" t="s">
        <v>30</v>
      </c>
      <c r="K102" t="s">
        <v>11</v>
      </c>
    </row>
    <row r="103" spans="1:11" x14ac:dyDescent="0.3">
      <c r="A103">
        <v>102</v>
      </c>
      <c r="B103">
        <v>10562</v>
      </c>
      <c r="C103" s="1">
        <v>44894</v>
      </c>
      <c r="D103" t="s">
        <v>8</v>
      </c>
      <c r="E103">
        <v>3.49</v>
      </c>
      <c r="F103">
        <v>630.37</v>
      </c>
      <c r="G103" s="4">
        <f t="shared" si="1"/>
        <v>2199.9913000000001</v>
      </c>
      <c r="H103" t="s">
        <v>9</v>
      </c>
      <c r="I103" t="s">
        <v>19</v>
      </c>
      <c r="J103" t="s">
        <v>30</v>
      </c>
      <c r="K103" t="s">
        <v>11</v>
      </c>
    </row>
    <row r="104" spans="1:11" x14ac:dyDescent="0.3">
      <c r="A104">
        <v>103</v>
      </c>
      <c r="B104">
        <v>10567</v>
      </c>
      <c r="C104" s="1">
        <v>44895</v>
      </c>
      <c r="D104" t="s">
        <v>8</v>
      </c>
      <c r="E104">
        <v>3.49</v>
      </c>
      <c r="F104">
        <v>630.37</v>
      </c>
      <c r="G104" s="4">
        <f t="shared" si="1"/>
        <v>2199.9913000000001</v>
      </c>
      <c r="H104" t="s">
        <v>9</v>
      </c>
      <c r="I104" t="s">
        <v>19</v>
      </c>
      <c r="J104" t="s">
        <v>30</v>
      </c>
      <c r="K104" t="s">
        <v>11</v>
      </c>
    </row>
    <row r="105" spans="1:11" x14ac:dyDescent="0.3">
      <c r="A105">
        <v>104</v>
      </c>
      <c r="B105">
        <v>10577</v>
      </c>
      <c r="C105" s="1">
        <v>44897</v>
      </c>
      <c r="D105" t="s">
        <v>8</v>
      </c>
      <c r="E105">
        <v>3.49</v>
      </c>
      <c r="F105">
        <v>630.37</v>
      </c>
      <c r="G105" s="4">
        <f t="shared" si="1"/>
        <v>2199.9913000000001</v>
      </c>
      <c r="H105" t="s">
        <v>9</v>
      </c>
      <c r="I105" t="s">
        <v>19</v>
      </c>
      <c r="J105" t="s">
        <v>24</v>
      </c>
      <c r="K105" t="s">
        <v>23</v>
      </c>
    </row>
    <row r="106" spans="1:11" x14ac:dyDescent="0.3">
      <c r="A106">
        <v>105</v>
      </c>
      <c r="B106">
        <v>10582</v>
      </c>
      <c r="C106" s="1">
        <v>44898</v>
      </c>
      <c r="D106" t="s">
        <v>8</v>
      </c>
      <c r="E106">
        <v>3.49</v>
      </c>
      <c r="F106">
        <v>630.37</v>
      </c>
      <c r="G106" s="4">
        <f t="shared" si="1"/>
        <v>2199.9913000000001</v>
      </c>
      <c r="H106" t="s">
        <v>9</v>
      </c>
      <c r="I106" t="s">
        <v>19</v>
      </c>
      <c r="J106" t="s">
        <v>30</v>
      </c>
      <c r="K106" t="s">
        <v>11</v>
      </c>
    </row>
    <row r="107" spans="1:11" x14ac:dyDescent="0.3">
      <c r="A107">
        <v>106</v>
      </c>
      <c r="B107">
        <v>10537</v>
      </c>
      <c r="C107" s="1">
        <v>44889</v>
      </c>
      <c r="D107" t="s">
        <v>8</v>
      </c>
      <c r="E107">
        <v>3.49</v>
      </c>
      <c r="F107">
        <v>630.37</v>
      </c>
      <c r="G107" s="4">
        <f t="shared" si="1"/>
        <v>2199.9913000000001</v>
      </c>
      <c r="H107" t="s">
        <v>28</v>
      </c>
      <c r="I107" t="s">
        <v>19</v>
      </c>
      <c r="J107" t="s">
        <v>25</v>
      </c>
      <c r="K107" t="s">
        <v>13</v>
      </c>
    </row>
    <row r="108" spans="1:11" x14ac:dyDescent="0.3">
      <c r="A108">
        <v>107</v>
      </c>
      <c r="B108">
        <v>10602</v>
      </c>
      <c r="C108" s="1">
        <v>44902</v>
      </c>
      <c r="D108" t="s">
        <v>8</v>
      </c>
      <c r="E108">
        <v>3.49</v>
      </c>
      <c r="F108">
        <v>630.37</v>
      </c>
      <c r="G108" s="4">
        <f t="shared" si="1"/>
        <v>2199.9913000000001</v>
      </c>
      <c r="H108" t="s">
        <v>9</v>
      </c>
      <c r="I108" t="s">
        <v>29</v>
      </c>
      <c r="J108" t="s">
        <v>30</v>
      </c>
      <c r="K108" t="s">
        <v>11</v>
      </c>
    </row>
    <row r="109" spans="1:11" x14ac:dyDescent="0.3">
      <c r="A109">
        <v>108</v>
      </c>
      <c r="B109">
        <v>10607</v>
      </c>
      <c r="C109" s="1">
        <v>44903</v>
      </c>
      <c r="D109" t="s">
        <v>8</v>
      </c>
      <c r="E109">
        <v>3.49</v>
      </c>
      <c r="F109">
        <v>630.37</v>
      </c>
      <c r="G109" s="4">
        <f t="shared" si="1"/>
        <v>2199.9913000000001</v>
      </c>
      <c r="H109" t="s">
        <v>9</v>
      </c>
      <c r="I109" t="s">
        <v>29</v>
      </c>
      <c r="J109" t="s">
        <v>30</v>
      </c>
      <c r="K109" t="s">
        <v>11</v>
      </c>
    </row>
    <row r="110" spans="1:11" x14ac:dyDescent="0.3">
      <c r="A110">
        <v>109</v>
      </c>
      <c r="B110">
        <v>10612</v>
      </c>
      <c r="C110" s="1">
        <v>44904</v>
      </c>
      <c r="D110" t="s">
        <v>8</v>
      </c>
      <c r="E110">
        <v>3.49</v>
      </c>
      <c r="F110">
        <v>630.37</v>
      </c>
      <c r="G110" s="4">
        <f t="shared" si="1"/>
        <v>2199.9913000000001</v>
      </c>
      <c r="H110" t="s">
        <v>9</v>
      </c>
      <c r="I110" t="s">
        <v>10</v>
      </c>
      <c r="J110" t="s">
        <v>30</v>
      </c>
      <c r="K110" t="s">
        <v>11</v>
      </c>
    </row>
    <row r="111" spans="1:11" x14ac:dyDescent="0.3">
      <c r="A111">
        <v>110</v>
      </c>
      <c r="B111">
        <v>10617</v>
      </c>
      <c r="C111" s="1">
        <v>44905</v>
      </c>
      <c r="D111" t="s">
        <v>8</v>
      </c>
      <c r="E111">
        <v>3.49</v>
      </c>
      <c r="F111">
        <v>630.37</v>
      </c>
      <c r="G111" s="4">
        <f t="shared" si="1"/>
        <v>2199.9913000000001</v>
      </c>
      <c r="H111" t="s">
        <v>9</v>
      </c>
      <c r="I111" t="s">
        <v>10</v>
      </c>
      <c r="J111" t="s">
        <v>30</v>
      </c>
      <c r="K111" t="s">
        <v>11</v>
      </c>
    </row>
    <row r="112" spans="1:11" x14ac:dyDescent="0.3">
      <c r="A112">
        <v>111</v>
      </c>
      <c r="B112">
        <v>10622</v>
      </c>
      <c r="C112" s="1">
        <v>44906</v>
      </c>
      <c r="D112" t="s">
        <v>8</v>
      </c>
      <c r="E112">
        <v>3.49</v>
      </c>
      <c r="F112">
        <v>630.37</v>
      </c>
      <c r="G112" s="4">
        <f t="shared" si="1"/>
        <v>2199.9913000000001</v>
      </c>
      <c r="H112" t="s">
        <v>9</v>
      </c>
      <c r="I112" t="s">
        <v>10</v>
      </c>
      <c r="J112" t="s">
        <v>30</v>
      </c>
      <c r="K112" t="s">
        <v>11</v>
      </c>
    </row>
    <row r="113" spans="1:11" x14ac:dyDescent="0.3">
      <c r="A113">
        <v>112</v>
      </c>
      <c r="B113">
        <v>10627</v>
      </c>
      <c r="C113" s="1">
        <v>44907</v>
      </c>
      <c r="D113" t="s">
        <v>8</v>
      </c>
      <c r="E113">
        <v>3.49</v>
      </c>
      <c r="F113">
        <v>630.37</v>
      </c>
      <c r="G113" s="4">
        <f t="shared" si="1"/>
        <v>2199.9913000000001</v>
      </c>
      <c r="H113" t="s">
        <v>9</v>
      </c>
      <c r="I113" t="s">
        <v>10</v>
      </c>
      <c r="J113" t="s">
        <v>30</v>
      </c>
      <c r="K113" t="s">
        <v>11</v>
      </c>
    </row>
    <row r="114" spans="1:11" x14ac:dyDescent="0.3">
      <c r="A114">
        <v>113</v>
      </c>
      <c r="B114">
        <v>10632</v>
      </c>
      <c r="C114" s="1">
        <v>44908</v>
      </c>
      <c r="D114" t="s">
        <v>8</v>
      </c>
      <c r="E114">
        <v>3.49</v>
      </c>
      <c r="F114">
        <v>630.37</v>
      </c>
      <c r="G114" s="4">
        <f t="shared" si="1"/>
        <v>2199.9913000000001</v>
      </c>
      <c r="H114" t="s">
        <v>9</v>
      </c>
      <c r="I114" t="s">
        <v>10</v>
      </c>
      <c r="J114" t="s">
        <v>27</v>
      </c>
      <c r="K114" t="s">
        <v>17</v>
      </c>
    </row>
    <row r="115" spans="1:11" x14ac:dyDescent="0.3">
      <c r="A115">
        <v>114</v>
      </c>
      <c r="B115">
        <v>10637</v>
      </c>
      <c r="C115" s="1">
        <v>44909</v>
      </c>
      <c r="D115" t="s">
        <v>8</v>
      </c>
      <c r="E115">
        <v>3.49</v>
      </c>
      <c r="F115">
        <v>630.37</v>
      </c>
      <c r="G115" s="4">
        <f t="shared" si="1"/>
        <v>2199.9913000000001</v>
      </c>
      <c r="H115" t="s">
        <v>9</v>
      </c>
      <c r="I115" t="s">
        <v>10</v>
      </c>
      <c r="J115" t="s">
        <v>27</v>
      </c>
      <c r="K115" t="s">
        <v>17</v>
      </c>
    </row>
    <row r="116" spans="1:11" x14ac:dyDescent="0.3">
      <c r="A116">
        <v>115</v>
      </c>
      <c r="B116">
        <v>10642</v>
      </c>
      <c r="C116" s="1">
        <v>44910</v>
      </c>
      <c r="D116" t="s">
        <v>8</v>
      </c>
      <c r="E116">
        <v>3.49</v>
      </c>
      <c r="F116">
        <v>630.37</v>
      </c>
      <c r="G116" s="4">
        <f t="shared" si="1"/>
        <v>2199.9913000000001</v>
      </c>
      <c r="H116" t="s">
        <v>9</v>
      </c>
      <c r="I116" t="s">
        <v>29</v>
      </c>
      <c r="J116" t="s">
        <v>27</v>
      </c>
      <c r="K116" t="s">
        <v>17</v>
      </c>
    </row>
    <row r="117" spans="1:11" x14ac:dyDescent="0.3">
      <c r="A117">
        <v>116</v>
      </c>
      <c r="B117">
        <v>10647</v>
      </c>
      <c r="C117" s="1">
        <v>44911</v>
      </c>
      <c r="D117" t="s">
        <v>8</v>
      </c>
      <c r="E117">
        <v>3.49</v>
      </c>
      <c r="F117">
        <v>630.37</v>
      </c>
      <c r="G117" s="4">
        <f t="shared" si="1"/>
        <v>2199.9913000000001</v>
      </c>
      <c r="H117" t="s">
        <v>9</v>
      </c>
      <c r="I117" t="s">
        <v>10</v>
      </c>
      <c r="J117" t="s">
        <v>27</v>
      </c>
      <c r="K117" t="s">
        <v>17</v>
      </c>
    </row>
    <row r="118" spans="1:11" x14ac:dyDescent="0.3">
      <c r="A118">
        <v>117</v>
      </c>
      <c r="B118">
        <v>10662</v>
      </c>
      <c r="C118" s="1">
        <v>44914</v>
      </c>
      <c r="D118" t="s">
        <v>8</v>
      </c>
      <c r="E118">
        <v>3.49</v>
      </c>
      <c r="F118">
        <v>630.37</v>
      </c>
      <c r="G118" s="4">
        <f t="shared" si="1"/>
        <v>2199.9913000000001</v>
      </c>
      <c r="H118" t="s">
        <v>15</v>
      </c>
      <c r="I118" t="s">
        <v>29</v>
      </c>
      <c r="J118" t="s">
        <v>27</v>
      </c>
      <c r="K118" t="s">
        <v>17</v>
      </c>
    </row>
    <row r="119" spans="1:11" x14ac:dyDescent="0.3">
      <c r="A119">
        <v>118</v>
      </c>
      <c r="B119">
        <v>10667</v>
      </c>
      <c r="C119" s="1">
        <v>44915</v>
      </c>
      <c r="D119" t="s">
        <v>8</v>
      </c>
      <c r="E119">
        <v>3.49</v>
      </c>
      <c r="F119">
        <v>630.37</v>
      </c>
      <c r="G119" s="4">
        <f t="shared" si="1"/>
        <v>2199.9913000000001</v>
      </c>
      <c r="H119" t="s">
        <v>15</v>
      </c>
      <c r="I119" t="s">
        <v>29</v>
      </c>
      <c r="J119" t="s">
        <v>27</v>
      </c>
      <c r="K119" t="s">
        <v>17</v>
      </c>
    </row>
    <row r="120" spans="1:11" x14ac:dyDescent="0.3">
      <c r="A120">
        <v>119</v>
      </c>
      <c r="B120">
        <v>10672</v>
      </c>
      <c r="C120" s="1">
        <v>44916</v>
      </c>
      <c r="D120" t="s">
        <v>8</v>
      </c>
      <c r="E120">
        <v>3.49</v>
      </c>
      <c r="F120">
        <v>630.37</v>
      </c>
      <c r="G120" s="4">
        <f t="shared" si="1"/>
        <v>2199.9913000000001</v>
      </c>
      <c r="H120" t="s">
        <v>15</v>
      </c>
      <c r="I120" t="s">
        <v>29</v>
      </c>
      <c r="J120" t="s">
        <v>27</v>
      </c>
      <c r="K120" t="s">
        <v>17</v>
      </c>
    </row>
    <row r="121" spans="1:11" x14ac:dyDescent="0.3">
      <c r="A121">
        <v>120</v>
      </c>
      <c r="B121">
        <v>10677</v>
      </c>
      <c r="C121" s="1">
        <v>44917</v>
      </c>
      <c r="D121" t="s">
        <v>8</v>
      </c>
      <c r="E121">
        <v>3.49</v>
      </c>
      <c r="F121">
        <v>630.37</v>
      </c>
      <c r="G121" s="4">
        <f t="shared" si="1"/>
        <v>2199.9913000000001</v>
      </c>
      <c r="H121" t="s">
        <v>15</v>
      </c>
      <c r="I121" t="s">
        <v>29</v>
      </c>
      <c r="J121" t="s">
        <v>27</v>
      </c>
      <c r="K121" t="s">
        <v>17</v>
      </c>
    </row>
    <row r="122" spans="1:11" x14ac:dyDescent="0.3">
      <c r="A122">
        <v>121</v>
      </c>
      <c r="B122">
        <v>10682</v>
      </c>
      <c r="C122" s="1">
        <v>44918</v>
      </c>
      <c r="D122" t="s">
        <v>8</v>
      </c>
      <c r="E122">
        <v>3.49</v>
      </c>
      <c r="F122">
        <v>630.37</v>
      </c>
      <c r="G122" s="4">
        <f t="shared" si="1"/>
        <v>2199.9913000000001</v>
      </c>
      <c r="H122" t="s">
        <v>15</v>
      </c>
      <c r="I122" t="s">
        <v>29</v>
      </c>
      <c r="J122" t="s">
        <v>27</v>
      </c>
      <c r="K122" t="s">
        <v>17</v>
      </c>
    </row>
    <row r="123" spans="1:11" x14ac:dyDescent="0.3">
      <c r="A123">
        <v>122</v>
      </c>
      <c r="B123">
        <v>10687</v>
      </c>
      <c r="C123" s="1">
        <v>44919</v>
      </c>
      <c r="D123" t="s">
        <v>8</v>
      </c>
      <c r="E123">
        <v>3.49</v>
      </c>
      <c r="F123">
        <v>630.37</v>
      </c>
      <c r="G123" s="4">
        <f t="shared" si="1"/>
        <v>2199.9913000000001</v>
      </c>
      <c r="H123" t="s">
        <v>15</v>
      </c>
      <c r="I123" t="s">
        <v>29</v>
      </c>
      <c r="J123" t="s">
        <v>20</v>
      </c>
      <c r="K123" t="s">
        <v>21</v>
      </c>
    </row>
    <row r="124" spans="1:11" x14ac:dyDescent="0.3">
      <c r="A124">
        <v>123</v>
      </c>
      <c r="B124">
        <v>10692</v>
      </c>
      <c r="C124" s="1">
        <v>44920</v>
      </c>
      <c r="D124" t="s">
        <v>8</v>
      </c>
      <c r="E124">
        <v>3.49</v>
      </c>
      <c r="F124">
        <v>630.37</v>
      </c>
      <c r="G124" s="4">
        <f t="shared" si="1"/>
        <v>2199.9913000000001</v>
      </c>
      <c r="H124" t="s">
        <v>15</v>
      </c>
      <c r="I124" t="s">
        <v>29</v>
      </c>
      <c r="J124" t="s">
        <v>20</v>
      </c>
      <c r="K124" t="s">
        <v>21</v>
      </c>
    </row>
    <row r="125" spans="1:11" x14ac:dyDescent="0.3">
      <c r="A125">
        <v>124</v>
      </c>
      <c r="B125">
        <v>10697</v>
      </c>
      <c r="C125" s="1">
        <v>44921</v>
      </c>
      <c r="D125" t="s">
        <v>8</v>
      </c>
      <c r="E125">
        <v>3.49</v>
      </c>
      <c r="F125">
        <v>630.37</v>
      </c>
      <c r="G125" s="4">
        <f t="shared" si="1"/>
        <v>2199.9913000000001</v>
      </c>
      <c r="H125" t="s">
        <v>15</v>
      </c>
      <c r="I125" t="s">
        <v>29</v>
      </c>
      <c r="J125" t="s">
        <v>20</v>
      </c>
      <c r="K125" t="s">
        <v>21</v>
      </c>
    </row>
    <row r="126" spans="1:11" x14ac:dyDescent="0.3">
      <c r="A126">
        <v>125</v>
      </c>
      <c r="B126">
        <v>10702</v>
      </c>
      <c r="C126" s="1">
        <v>44922</v>
      </c>
      <c r="D126" t="s">
        <v>8</v>
      </c>
      <c r="E126">
        <v>3.49</v>
      </c>
      <c r="F126">
        <v>630.37</v>
      </c>
      <c r="G126" s="4">
        <f t="shared" si="1"/>
        <v>2199.9913000000001</v>
      </c>
      <c r="H126" t="s">
        <v>15</v>
      </c>
      <c r="I126" t="s">
        <v>29</v>
      </c>
      <c r="J126" t="s">
        <v>20</v>
      </c>
      <c r="K126" t="s">
        <v>21</v>
      </c>
    </row>
    <row r="127" spans="1:11" x14ac:dyDescent="0.3">
      <c r="A127">
        <v>126</v>
      </c>
      <c r="B127">
        <v>10707</v>
      </c>
      <c r="C127" s="1">
        <v>44923</v>
      </c>
      <c r="D127" t="s">
        <v>8</v>
      </c>
      <c r="E127">
        <v>3.49</v>
      </c>
      <c r="F127">
        <v>630.37</v>
      </c>
      <c r="G127" s="4">
        <f t="shared" si="1"/>
        <v>2199.9913000000001</v>
      </c>
      <c r="H127" t="s">
        <v>28</v>
      </c>
      <c r="I127" t="s">
        <v>10</v>
      </c>
      <c r="J127" t="s">
        <v>20</v>
      </c>
      <c r="K127" t="s">
        <v>21</v>
      </c>
    </row>
    <row r="128" spans="1:11" x14ac:dyDescent="0.3">
      <c r="A128">
        <v>127</v>
      </c>
      <c r="B128">
        <v>10712</v>
      </c>
      <c r="C128" s="1">
        <v>44924</v>
      </c>
      <c r="D128" t="s">
        <v>8</v>
      </c>
      <c r="E128">
        <v>3.49</v>
      </c>
      <c r="F128">
        <v>630.37</v>
      </c>
      <c r="G128" s="4">
        <f t="shared" si="1"/>
        <v>2199.9913000000001</v>
      </c>
      <c r="H128" t="s">
        <v>28</v>
      </c>
      <c r="I128" t="s">
        <v>10</v>
      </c>
      <c r="J128" t="s">
        <v>20</v>
      </c>
      <c r="K128" t="s">
        <v>21</v>
      </c>
    </row>
    <row r="129" spans="1:11" x14ac:dyDescent="0.3">
      <c r="A129">
        <v>128</v>
      </c>
      <c r="B129">
        <v>10456</v>
      </c>
      <c r="C129" s="1">
        <v>44873</v>
      </c>
      <c r="D129" t="s">
        <v>22</v>
      </c>
      <c r="E129">
        <v>9.9499999999999993</v>
      </c>
      <c r="F129">
        <v>201.01</v>
      </c>
      <c r="G129" s="4">
        <f t="shared" si="1"/>
        <v>2000.0494999999999</v>
      </c>
      <c r="H129" t="s">
        <v>15</v>
      </c>
      <c r="I129" t="s">
        <v>19</v>
      </c>
      <c r="J129" t="s">
        <v>20</v>
      </c>
      <c r="K129" t="s">
        <v>21</v>
      </c>
    </row>
    <row r="130" spans="1:11" x14ac:dyDescent="0.3">
      <c r="A130">
        <v>129</v>
      </c>
      <c r="B130">
        <v>10461</v>
      </c>
      <c r="C130" s="1">
        <v>44874</v>
      </c>
      <c r="D130" t="s">
        <v>22</v>
      </c>
      <c r="E130">
        <v>9.9499999999999993</v>
      </c>
      <c r="F130">
        <v>201.01</v>
      </c>
      <c r="G130" s="4">
        <f t="shared" ref="G130:G193" si="2">E130*F130</f>
        <v>2000.0494999999999</v>
      </c>
      <c r="H130" t="s">
        <v>15</v>
      </c>
      <c r="I130" t="s">
        <v>19</v>
      </c>
      <c r="J130" t="s">
        <v>24</v>
      </c>
      <c r="K130" t="s">
        <v>23</v>
      </c>
    </row>
    <row r="131" spans="1:11" x14ac:dyDescent="0.3">
      <c r="A131">
        <v>130</v>
      </c>
      <c r="B131">
        <v>10466</v>
      </c>
      <c r="C131" s="1">
        <v>44875</v>
      </c>
      <c r="D131" t="s">
        <v>22</v>
      </c>
      <c r="E131">
        <v>9.9499999999999993</v>
      </c>
      <c r="F131">
        <v>201.01</v>
      </c>
      <c r="G131" s="4">
        <f t="shared" si="2"/>
        <v>2000.0494999999999</v>
      </c>
      <c r="H131" t="s">
        <v>15</v>
      </c>
      <c r="I131" t="s">
        <v>19</v>
      </c>
      <c r="J131" t="s">
        <v>25</v>
      </c>
      <c r="K131" t="s">
        <v>13</v>
      </c>
    </row>
    <row r="132" spans="1:11" x14ac:dyDescent="0.3">
      <c r="A132">
        <v>131</v>
      </c>
      <c r="B132">
        <v>10471</v>
      </c>
      <c r="C132" s="1">
        <v>44876</v>
      </c>
      <c r="D132" t="s">
        <v>22</v>
      </c>
      <c r="E132">
        <v>9.9499999999999993</v>
      </c>
      <c r="F132">
        <v>201.01</v>
      </c>
      <c r="G132" s="4">
        <f t="shared" si="2"/>
        <v>2000.0494999999999</v>
      </c>
      <c r="H132" t="s">
        <v>15</v>
      </c>
      <c r="I132" t="s">
        <v>19</v>
      </c>
      <c r="J132" t="s">
        <v>25</v>
      </c>
      <c r="K132" t="s">
        <v>13</v>
      </c>
    </row>
    <row r="133" spans="1:11" x14ac:dyDescent="0.3">
      <c r="A133">
        <v>132</v>
      </c>
      <c r="B133">
        <v>10476</v>
      </c>
      <c r="C133" s="1">
        <v>44877</v>
      </c>
      <c r="D133" t="s">
        <v>22</v>
      </c>
      <c r="E133">
        <v>9.9499999999999993</v>
      </c>
      <c r="F133">
        <v>201.01</v>
      </c>
      <c r="G133" s="4">
        <f t="shared" si="2"/>
        <v>2000.0494999999999</v>
      </c>
      <c r="H133" t="s">
        <v>15</v>
      </c>
      <c r="I133" t="s">
        <v>19</v>
      </c>
      <c r="J133" t="s">
        <v>25</v>
      </c>
      <c r="K133" t="s">
        <v>13</v>
      </c>
    </row>
    <row r="134" spans="1:11" x14ac:dyDescent="0.3">
      <c r="A134">
        <v>133</v>
      </c>
      <c r="B134">
        <v>10481</v>
      </c>
      <c r="C134" s="1">
        <v>44878</v>
      </c>
      <c r="D134" t="s">
        <v>22</v>
      </c>
      <c r="E134">
        <v>9.9499999999999993</v>
      </c>
      <c r="F134">
        <v>201.01</v>
      </c>
      <c r="G134" s="4">
        <f t="shared" si="2"/>
        <v>2000.0494999999999</v>
      </c>
      <c r="H134" t="s">
        <v>15</v>
      </c>
      <c r="I134" t="s">
        <v>19</v>
      </c>
      <c r="J134" t="s">
        <v>25</v>
      </c>
      <c r="K134" t="s">
        <v>13</v>
      </c>
    </row>
    <row r="135" spans="1:11" x14ac:dyDescent="0.3">
      <c r="A135">
        <v>134</v>
      </c>
      <c r="B135">
        <v>10491</v>
      </c>
      <c r="C135" s="1">
        <v>44880</v>
      </c>
      <c r="D135" t="s">
        <v>22</v>
      </c>
      <c r="E135">
        <v>9.9499999999999993</v>
      </c>
      <c r="F135">
        <v>201.01</v>
      </c>
      <c r="G135" s="4">
        <f t="shared" si="2"/>
        <v>2000.0494999999999</v>
      </c>
      <c r="H135" t="s">
        <v>15</v>
      </c>
      <c r="I135" t="s">
        <v>19</v>
      </c>
      <c r="J135" t="s">
        <v>25</v>
      </c>
      <c r="K135" t="s">
        <v>13</v>
      </c>
    </row>
    <row r="136" spans="1:11" x14ac:dyDescent="0.3">
      <c r="A136">
        <v>135</v>
      </c>
      <c r="B136">
        <v>10496</v>
      </c>
      <c r="C136" s="1">
        <v>44881</v>
      </c>
      <c r="D136" t="s">
        <v>22</v>
      </c>
      <c r="E136">
        <v>9.9499999999999993</v>
      </c>
      <c r="F136">
        <v>201.01</v>
      </c>
      <c r="G136" s="4">
        <f t="shared" si="2"/>
        <v>2000.0494999999999</v>
      </c>
      <c r="H136" t="s">
        <v>15</v>
      </c>
      <c r="I136" t="s">
        <v>19</v>
      </c>
      <c r="J136" t="s">
        <v>25</v>
      </c>
      <c r="K136" t="s">
        <v>13</v>
      </c>
    </row>
    <row r="137" spans="1:11" x14ac:dyDescent="0.3">
      <c r="A137">
        <v>136</v>
      </c>
      <c r="B137">
        <v>10501</v>
      </c>
      <c r="C137" s="1">
        <v>44882</v>
      </c>
      <c r="D137" t="s">
        <v>22</v>
      </c>
      <c r="E137">
        <v>9.9499999999999993</v>
      </c>
      <c r="F137">
        <v>201.01</v>
      </c>
      <c r="G137" s="4">
        <f t="shared" si="2"/>
        <v>2000.0494999999999</v>
      </c>
      <c r="H137" t="s">
        <v>28</v>
      </c>
      <c r="I137" t="s">
        <v>19</v>
      </c>
      <c r="J137" t="s">
        <v>25</v>
      </c>
      <c r="K137" t="s">
        <v>13</v>
      </c>
    </row>
    <row r="138" spans="1:11" x14ac:dyDescent="0.3">
      <c r="A138">
        <v>137</v>
      </c>
      <c r="B138">
        <v>10506</v>
      </c>
      <c r="C138" s="1">
        <v>44883</v>
      </c>
      <c r="D138" t="s">
        <v>22</v>
      </c>
      <c r="E138">
        <v>9.9499999999999993</v>
      </c>
      <c r="F138">
        <v>201.01</v>
      </c>
      <c r="G138" s="4">
        <f t="shared" si="2"/>
        <v>2000.0494999999999</v>
      </c>
      <c r="H138" t="s">
        <v>28</v>
      </c>
      <c r="I138" t="s">
        <v>19</v>
      </c>
      <c r="J138" t="s">
        <v>25</v>
      </c>
      <c r="K138" t="s">
        <v>13</v>
      </c>
    </row>
    <row r="139" spans="1:11" x14ac:dyDescent="0.3">
      <c r="A139">
        <v>138</v>
      </c>
      <c r="B139">
        <v>10511</v>
      </c>
      <c r="C139" s="1">
        <v>44884</v>
      </c>
      <c r="D139" t="s">
        <v>22</v>
      </c>
      <c r="E139">
        <v>9.9499999999999993</v>
      </c>
      <c r="F139">
        <v>201.01</v>
      </c>
      <c r="G139" s="4">
        <f t="shared" si="2"/>
        <v>2000.0494999999999</v>
      </c>
      <c r="H139" t="s">
        <v>28</v>
      </c>
      <c r="I139" t="s">
        <v>19</v>
      </c>
      <c r="J139" t="s">
        <v>27</v>
      </c>
      <c r="K139" t="s">
        <v>17</v>
      </c>
    </row>
    <row r="140" spans="1:11" x14ac:dyDescent="0.3">
      <c r="A140">
        <v>139</v>
      </c>
      <c r="B140">
        <v>10516</v>
      </c>
      <c r="C140" s="1">
        <v>44885</v>
      </c>
      <c r="D140" t="s">
        <v>22</v>
      </c>
      <c r="E140">
        <v>9.9499999999999993</v>
      </c>
      <c r="F140">
        <v>201.01</v>
      </c>
      <c r="G140" s="4">
        <f t="shared" si="2"/>
        <v>2000.0494999999999</v>
      </c>
      <c r="H140" t="s">
        <v>28</v>
      </c>
      <c r="I140" t="s">
        <v>29</v>
      </c>
      <c r="J140" t="s">
        <v>27</v>
      </c>
      <c r="K140" t="s">
        <v>17</v>
      </c>
    </row>
    <row r="141" spans="1:11" x14ac:dyDescent="0.3">
      <c r="A141">
        <v>140</v>
      </c>
      <c r="B141">
        <v>10521</v>
      </c>
      <c r="C141" s="1">
        <v>44886</v>
      </c>
      <c r="D141" t="s">
        <v>22</v>
      </c>
      <c r="E141">
        <v>9.9499999999999993</v>
      </c>
      <c r="F141">
        <v>201.01</v>
      </c>
      <c r="G141" s="4">
        <f t="shared" si="2"/>
        <v>2000.0494999999999</v>
      </c>
      <c r="H141" t="s">
        <v>28</v>
      </c>
      <c r="I141" t="s">
        <v>29</v>
      </c>
      <c r="J141" t="s">
        <v>24</v>
      </c>
      <c r="K141" t="s">
        <v>23</v>
      </c>
    </row>
    <row r="142" spans="1:11" x14ac:dyDescent="0.3">
      <c r="A142">
        <v>141</v>
      </c>
      <c r="B142">
        <v>10526</v>
      </c>
      <c r="C142" s="1">
        <v>44887</v>
      </c>
      <c r="D142" t="s">
        <v>22</v>
      </c>
      <c r="E142">
        <v>9.9499999999999993</v>
      </c>
      <c r="F142">
        <v>201.01</v>
      </c>
      <c r="G142" s="4">
        <f t="shared" si="2"/>
        <v>2000.0494999999999</v>
      </c>
      <c r="H142" t="s">
        <v>28</v>
      </c>
      <c r="I142" t="s">
        <v>29</v>
      </c>
      <c r="J142" t="s">
        <v>24</v>
      </c>
      <c r="K142" t="s">
        <v>23</v>
      </c>
    </row>
    <row r="143" spans="1:11" x14ac:dyDescent="0.3">
      <c r="A143">
        <v>142</v>
      </c>
      <c r="B143">
        <v>10531</v>
      </c>
      <c r="C143" s="1">
        <v>44888</v>
      </c>
      <c r="D143" t="s">
        <v>22</v>
      </c>
      <c r="E143">
        <v>9.9499999999999993</v>
      </c>
      <c r="F143">
        <v>201.01</v>
      </c>
      <c r="G143" s="4">
        <f t="shared" si="2"/>
        <v>2000.0494999999999</v>
      </c>
      <c r="H143" t="s">
        <v>28</v>
      </c>
      <c r="I143" t="s">
        <v>29</v>
      </c>
      <c r="J143" t="s">
        <v>24</v>
      </c>
      <c r="K143" t="s">
        <v>23</v>
      </c>
    </row>
    <row r="144" spans="1:11" x14ac:dyDescent="0.3">
      <c r="A144">
        <v>143</v>
      </c>
      <c r="B144">
        <v>10536</v>
      </c>
      <c r="C144" s="1">
        <v>44889</v>
      </c>
      <c r="D144" t="s">
        <v>22</v>
      </c>
      <c r="E144">
        <v>9.9499999999999993</v>
      </c>
      <c r="F144">
        <v>201.01</v>
      </c>
      <c r="G144" s="4">
        <f t="shared" si="2"/>
        <v>2000.0494999999999</v>
      </c>
      <c r="H144" t="s">
        <v>28</v>
      </c>
      <c r="I144" t="s">
        <v>19</v>
      </c>
      <c r="J144" t="s">
        <v>25</v>
      </c>
      <c r="K144" t="s">
        <v>13</v>
      </c>
    </row>
    <row r="145" spans="1:11" x14ac:dyDescent="0.3">
      <c r="A145">
        <v>144</v>
      </c>
      <c r="B145">
        <v>10541</v>
      </c>
      <c r="C145" s="1">
        <v>44890</v>
      </c>
      <c r="D145" t="s">
        <v>22</v>
      </c>
      <c r="E145">
        <v>9.9499999999999993</v>
      </c>
      <c r="F145">
        <v>201.01</v>
      </c>
      <c r="G145" s="4">
        <f t="shared" si="2"/>
        <v>2000.0494999999999</v>
      </c>
      <c r="H145" t="s">
        <v>28</v>
      </c>
      <c r="I145" t="s">
        <v>19</v>
      </c>
      <c r="J145" t="s">
        <v>30</v>
      </c>
      <c r="K145" t="s">
        <v>11</v>
      </c>
    </row>
    <row r="146" spans="1:11" x14ac:dyDescent="0.3">
      <c r="A146">
        <v>145</v>
      </c>
      <c r="B146">
        <v>10546</v>
      </c>
      <c r="C146" s="1">
        <v>44891</v>
      </c>
      <c r="D146" t="s">
        <v>22</v>
      </c>
      <c r="E146">
        <v>9.9499999999999993</v>
      </c>
      <c r="F146">
        <v>201.01</v>
      </c>
      <c r="G146" s="4">
        <f t="shared" si="2"/>
        <v>2000.0494999999999</v>
      </c>
      <c r="H146" t="s">
        <v>28</v>
      </c>
      <c r="I146" t="s">
        <v>19</v>
      </c>
      <c r="J146" t="s">
        <v>30</v>
      </c>
      <c r="K146" t="s">
        <v>11</v>
      </c>
    </row>
    <row r="147" spans="1:11" x14ac:dyDescent="0.3">
      <c r="A147">
        <v>146</v>
      </c>
      <c r="B147">
        <v>10551</v>
      </c>
      <c r="C147" s="1">
        <v>44892</v>
      </c>
      <c r="D147" t="s">
        <v>22</v>
      </c>
      <c r="E147">
        <v>9.9499999999999993</v>
      </c>
      <c r="F147">
        <v>201.01</v>
      </c>
      <c r="G147" s="4">
        <f t="shared" si="2"/>
        <v>2000.0494999999999</v>
      </c>
      <c r="H147" t="s">
        <v>28</v>
      </c>
      <c r="I147" t="s">
        <v>19</v>
      </c>
      <c r="J147" t="s">
        <v>30</v>
      </c>
      <c r="K147" t="s">
        <v>11</v>
      </c>
    </row>
    <row r="148" spans="1:11" x14ac:dyDescent="0.3">
      <c r="A148">
        <v>147</v>
      </c>
      <c r="B148">
        <v>10556</v>
      </c>
      <c r="C148" s="1">
        <v>44893</v>
      </c>
      <c r="D148" t="s">
        <v>22</v>
      </c>
      <c r="E148">
        <v>9.9499999999999993</v>
      </c>
      <c r="F148">
        <v>201.01</v>
      </c>
      <c r="G148" s="4">
        <f t="shared" si="2"/>
        <v>2000.0494999999999</v>
      </c>
      <c r="H148" t="s">
        <v>9</v>
      </c>
      <c r="I148" t="s">
        <v>19</v>
      </c>
      <c r="J148" t="s">
        <v>30</v>
      </c>
      <c r="K148" t="s">
        <v>11</v>
      </c>
    </row>
    <row r="149" spans="1:11" x14ac:dyDescent="0.3">
      <c r="A149">
        <v>148</v>
      </c>
      <c r="B149">
        <v>10561</v>
      </c>
      <c r="C149" s="1">
        <v>44894</v>
      </c>
      <c r="D149" t="s">
        <v>22</v>
      </c>
      <c r="E149">
        <v>9.9499999999999993</v>
      </c>
      <c r="F149">
        <v>201.01</v>
      </c>
      <c r="G149" s="4">
        <f t="shared" si="2"/>
        <v>2000.0494999999999</v>
      </c>
      <c r="H149" t="s">
        <v>9</v>
      </c>
      <c r="I149" t="s">
        <v>19</v>
      </c>
      <c r="J149" t="s">
        <v>30</v>
      </c>
      <c r="K149" t="s">
        <v>11</v>
      </c>
    </row>
    <row r="150" spans="1:11" x14ac:dyDescent="0.3">
      <c r="A150">
        <v>149</v>
      </c>
      <c r="B150">
        <v>10566</v>
      </c>
      <c r="C150" s="1">
        <v>44895</v>
      </c>
      <c r="D150" t="s">
        <v>22</v>
      </c>
      <c r="E150">
        <v>9.9499999999999993</v>
      </c>
      <c r="F150">
        <v>201.01</v>
      </c>
      <c r="G150" s="4">
        <f t="shared" si="2"/>
        <v>2000.0494999999999</v>
      </c>
      <c r="H150" t="s">
        <v>9</v>
      </c>
      <c r="I150" t="s">
        <v>19</v>
      </c>
      <c r="J150" t="s">
        <v>30</v>
      </c>
      <c r="K150" t="s">
        <v>11</v>
      </c>
    </row>
    <row r="151" spans="1:11" x14ac:dyDescent="0.3">
      <c r="A151">
        <v>150</v>
      </c>
      <c r="B151">
        <v>10571</v>
      </c>
      <c r="C151" s="1">
        <v>44896</v>
      </c>
      <c r="D151" t="s">
        <v>22</v>
      </c>
      <c r="E151">
        <v>9.9499999999999993</v>
      </c>
      <c r="F151">
        <v>201.01</v>
      </c>
      <c r="G151" s="4">
        <f t="shared" si="2"/>
        <v>2000.0494999999999</v>
      </c>
      <c r="H151" t="s">
        <v>9</v>
      </c>
      <c r="I151" t="s">
        <v>19</v>
      </c>
      <c r="J151" t="s">
        <v>30</v>
      </c>
      <c r="K151" t="s">
        <v>11</v>
      </c>
    </row>
    <row r="152" spans="1:11" x14ac:dyDescent="0.3">
      <c r="A152">
        <v>151</v>
      </c>
      <c r="B152">
        <v>10576</v>
      </c>
      <c r="C152" s="1">
        <v>44897</v>
      </c>
      <c r="D152" t="s">
        <v>22</v>
      </c>
      <c r="E152">
        <v>9.9499999999999993</v>
      </c>
      <c r="F152">
        <v>201.01</v>
      </c>
      <c r="G152" s="4">
        <f t="shared" si="2"/>
        <v>2000.0494999999999</v>
      </c>
      <c r="H152" t="s">
        <v>9</v>
      </c>
      <c r="I152" t="s">
        <v>19</v>
      </c>
      <c r="J152" t="s">
        <v>24</v>
      </c>
      <c r="K152" t="s">
        <v>23</v>
      </c>
    </row>
    <row r="153" spans="1:11" x14ac:dyDescent="0.3">
      <c r="A153">
        <v>152</v>
      </c>
      <c r="B153">
        <v>10581</v>
      </c>
      <c r="C153" s="1">
        <v>44898</v>
      </c>
      <c r="D153" t="s">
        <v>22</v>
      </c>
      <c r="E153">
        <v>9.9499999999999993</v>
      </c>
      <c r="F153">
        <v>201.01</v>
      </c>
      <c r="G153" s="4">
        <f t="shared" si="2"/>
        <v>2000.0494999999999</v>
      </c>
      <c r="H153" t="s">
        <v>9</v>
      </c>
      <c r="I153" t="s">
        <v>19</v>
      </c>
      <c r="J153" t="s">
        <v>24</v>
      </c>
      <c r="K153" t="s">
        <v>23</v>
      </c>
    </row>
    <row r="154" spans="1:11" x14ac:dyDescent="0.3">
      <c r="A154">
        <v>153</v>
      </c>
      <c r="B154">
        <v>10586</v>
      </c>
      <c r="C154" s="1">
        <v>44899</v>
      </c>
      <c r="D154" t="s">
        <v>22</v>
      </c>
      <c r="E154">
        <v>9.9499999999999993</v>
      </c>
      <c r="F154">
        <v>201.01</v>
      </c>
      <c r="G154" s="4">
        <f t="shared" si="2"/>
        <v>2000.0494999999999</v>
      </c>
      <c r="H154" t="s">
        <v>9</v>
      </c>
      <c r="I154" t="s">
        <v>19</v>
      </c>
      <c r="J154" t="s">
        <v>30</v>
      </c>
      <c r="K154" t="s">
        <v>11</v>
      </c>
    </row>
    <row r="155" spans="1:11" x14ac:dyDescent="0.3">
      <c r="A155">
        <v>154</v>
      </c>
      <c r="B155">
        <v>10591</v>
      </c>
      <c r="C155" s="1">
        <v>44900</v>
      </c>
      <c r="D155" t="s">
        <v>22</v>
      </c>
      <c r="E155">
        <v>9.9499999999999993</v>
      </c>
      <c r="F155">
        <v>201.01</v>
      </c>
      <c r="G155" s="4">
        <f t="shared" si="2"/>
        <v>2000.0494999999999</v>
      </c>
      <c r="H155" t="s">
        <v>9</v>
      </c>
      <c r="I155" t="s">
        <v>19</v>
      </c>
      <c r="J155" t="s">
        <v>30</v>
      </c>
      <c r="K155" t="s">
        <v>11</v>
      </c>
    </row>
    <row r="156" spans="1:11" x14ac:dyDescent="0.3">
      <c r="A156">
        <v>155</v>
      </c>
      <c r="B156">
        <v>10596</v>
      </c>
      <c r="C156" s="1">
        <v>44901</v>
      </c>
      <c r="D156" t="s">
        <v>22</v>
      </c>
      <c r="E156">
        <v>9.9499999999999993</v>
      </c>
      <c r="F156">
        <v>201.01</v>
      </c>
      <c r="G156" s="4">
        <f t="shared" si="2"/>
        <v>2000.0494999999999</v>
      </c>
      <c r="H156" t="s">
        <v>9</v>
      </c>
      <c r="I156" t="s">
        <v>19</v>
      </c>
      <c r="J156" t="s">
        <v>30</v>
      </c>
      <c r="K156" t="s">
        <v>11</v>
      </c>
    </row>
    <row r="157" spans="1:11" x14ac:dyDescent="0.3">
      <c r="A157">
        <v>156</v>
      </c>
      <c r="B157">
        <v>10601</v>
      </c>
      <c r="C157" s="1">
        <v>44902</v>
      </c>
      <c r="D157" t="s">
        <v>22</v>
      </c>
      <c r="E157">
        <v>9.9499999999999993</v>
      </c>
      <c r="F157">
        <v>201.01</v>
      </c>
      <c r="G157" s="4">
        <f t="shared" si="2"/>
        <v>2000.0494999999999</v>
      </c>
      <c r="H157" t="s">
        <v>9</v>
      </c>
      <c r="I157" t="s">
        <v>19</v>
      </c>
      <c r="J157" t="s">
        <v>30</v>
      </c>
      <c r="K157" t="s">
        <v>11</v>
      </c>
    </row>
    <row r="158" spans="1:11" x14ac:dyDescent="0.3">
      <c r="A158">
        <v>157</v>
      </c>
      <c r="B158">
        <v>10606</v>
      </c>
      <c r="C158" s="1">
        <v>44903</v>
      </c>
      <c r="D158" t="s">
        <v>22</v>
      </c>
      <c r="E158">
        <v>9.9499999999999993</v>
      </c>
      <c r="F158">
        <v>201.01</v>
      </c>
      <c r="G158" s="4">
        <f t="shared" si="2"/>
        <v>2000.0494999999999</v>
      </c>
      <c r="H158" t="s">
        <v>9</v>
      </c>
      <c r="I158" t="s">
        <v>29</v>
      </c>
      <c r="J158" t="s">
        <v>30</v>
      </c>
      <c r="K158" t="s">
        <v>11</v>
      </c>
    </row>
    <row r="159" spans="1:11" x14ac:dyDescent="0.3">
      <c r="A159">
        <v>158</v>
      </c>
      <c r="B159">
        <v>10611</v>
      </c>
      <c r="C159" s="1">
        <v>44904</v>
      </c>
      <c r="D159" t="s">
        <v>22</v>
      </c>
      <c r="E159">
        <v>9.9499999999999993</v>
      </c>
      <c r="F159">
        <v>201.01</v>
      </c>
      <c r="G159" s="4">
        <f t="shared" si="2"/>
        <v>2000.0494999999999</v>
      </c>
      <c r="H159" t="s">
        <v>9</v>
      </c>
      <c r="I159" t="s">
        <v>10</v>
      </c>
      <c r="J159" t="s">
        <v>30</v>
      </c>
      <c r="K159" t="s">
        <v>11</v>
      </c>
    </row>
    <row r="160" spans="1:11" x14ac:dyDescent="0.3">
      <c r="A160">
        <v>159</v>
      </c>
      <c r="B160">
        <v>10616</v>
      </c>
      <c r="C160" s="1">
        <v>44905</v>
      </c>
      <c r="D160" t="s">
        <v>22</v>
      </c>
      <c r="E160">
        <v>9.9499999999999993</v>
      </c>
      <c r="F160">
        <v>201.01</v>
      </c>
      <c r="G160" s="4">
        <f t="shared" si="2"/>
        <v>2000.0494999999999</v>
      </c>
      <c r="H160" t="s">
        <v>9</v>
      </c>
      <c r="I160" t="s">
        <v>10</v>
      </c>
      <c r="J160" t="s">
        <v>30</v>
      </c>
      <c r="K160" t="s">
        <v>11</v>
      </c>
    </row>
    <row r="161" spans="1:11" x14ac:dyDescent="0.3">
      <c r="A161">
        <v>160</v>
      </c>
      <c r="B161">
        <v>10621</v>
      </c>
      <c r="C161" s="1">
        <v>44906</v>
      </c>
      <c r="D161" t="s">
        <v>22</v>
      </c>
      <c r="E161">
        <v>9.9499999999999993</v>
      </c>
      <c r="F161">
        <v>201.01</v>
      </c>
      <c r="G161" s="4">
        <f t="shared" si="2"/>
        <v>2000.0494999999999</v>
      </c>
      <c r="H161" t="s">
        <v>9</v>
      </c>
      <c r="I161" t="s">
        <v>10</v>
      </c>
      <c r="J161" t="s">
        <v>30</v>
      </c>
      <c r="K161" t="s">
        <v>11</v>
      </c>
    </row>
    <row r="162" spans="1:11" x14ac:dyDescent="0.3">
      <c r="A162">
        <v>161</v>
      </c>
      <c r="B162">
        <v>10626</v>
      </c>
      <c r="C162" s="1">
        <v>44907</v>
      </c>
      <c r="D162" t="s">
        <v>22</v>
      </c>
      <c r="E162">
        <v>9.9499999999999993</v>
      </c>
      <c r="F162">
        <v>201.01</v>
      </c>
      <c r="G162" s="4">
        <f t="shared" si="2"/>
        <v>2000.0494999999999</v>
      </c>
      <c r="H162" t="s">
        <v>9</v>
      </c>
      <c r="I162" t="s">
        <v>10</v>
      </c>
      <c r="J162" t="s">
        <v>30</v>
      </c>
      <c r="K162" t="s">
        <v>11</v>
      </c>
    </row>
    <row r="163" spans="1:11" x14ac:dyDescent="0.3">
      <c r="A163">
        <v>162</v>
      </c>
      <c r="B163">
        <v>10631</v>
      </c>
      <c r="C163" s="1">
        <v>44908</v>
      </c>
      <c r="D163" t="s">
        <v>22</v>
      </c>
      <c r="E163">
        <v>9.9499999999999993</v>
      </c>
      <c r="F163">
        <v>201.01</v>
      </c>
      <c r="G163" s="4">
        <f t="shared" si="2"/>
        <v>2000.0494999999999</v>
      </c>
      <c r="H163" t="s">
        <v>9</v>
      </c>
      <c r="I163" t="s">
        <v>10</v>
      </c>
      <c r="J163" t="s">
        <v>27</v>
      </c>
      <c r="K163" t="s">
        <v>17</v>
      </c>
    </row>
    <row r="164" spans="1:11" x14ac:dyDescent="0.3">
      <c r="A164">
        <v>163</v>
      </c>
      <c r="B164">
        <v>10452</v>
      </c>
      <c r="C164" s="1">
        <v>44872</v>
      </c>
      <c r="D164" t="s">
        <v>8</v>
      </c>
      <c r="E164">
        <v>3.49</v>
      </c>
      <c r="F164">
        <v>573.07000000000005</v>
      </c>
      <c r="G164" s="4">
        <f t="shared" si="2"/>
        <v>2000.0143000000003</v>
      </c>
      <c r="H164" t="s">
        <v>9</v>
      </c>
      <c r="I164" t="s">
        <v>10</v>
      </c>
      <c r="J164" t="s">
        <v>30</v>
      </c>
      <c r="K164" t="s">
        <v>11</v>
      </c>
    </row>
    <row r="165" spans="1:11" x14ac:dyDescent="0.3">
      <c r="A165">
        <v>164</v>
      </c>
      <c r="B165">
        <v>10457</v>
      </c>
      <c r="C165" s="1">
        <v>44873</v>
      </c>
      <c r="D165" t="s">
        <v>8</v>
      </c>
      <c r="E165">
        <v>3.49</v>
      </c>
      <c r="F165">
        <v>573.07000000000005</v>
      </c>
      <c r="G165" s="4">
        <f t="shared" si="2"/>
        <v>2000.0143000000003</v>
      </c>
      <c r="H165" t="s">
        <v>15</v>
      </c>
      <c r="I165" t="s">
        <v>19</v>
      </c>
      <c r="J165" t="s">
        <v>24</v>
      </c>
      <c r="K165" t="s">
        <v>23</v>
      </c>
    </row>
    <row r="166" spans="1:11" x14ac:dyDescent="0.3">
      <c r="A166">
        <v>165</v>
      </c>
      <c r="B166">
        <v>10462</v>
      </c>
      <c r="C166" s="1">
        <v>44874</v>
      </c>
      <c r="D166" t="s">
        <v>8</v>
      </c>
      <c r="E166">
        <v>3.49</v>
      </c>
      <c r="F166">
        <v>573.07000000000005</v>
      </c>
      <c r="G166" s="4">
        <f t="shared" si="2"/>
        <v>2000.0143000000003</v>
      </c>
      <c r="H166" t="s">
        <v>15</v>
      </c>
      <c r="I166" t="s">
        <v>19</v>
      </c>
      <c r="J166" t="s">
        <v>54</v>
      </c>
      <c r="K166" t="s">
        <v>23</v>
      </c>
    </row>
    <row r="167" spans="1:11" x14ac:dyDescent="0.3">
      <c r="A167">
        <v>166</v>
      </c>
      <c r="B167">
        <v>10467</v>
      </c>
      <c r="C167" s="1">
        <v>44875</v>
      </c>
      <c r="D167" t="s">
        <v>8</v>
      </c>
      <c r="E167">
        <v>3.49</v>
      </c>
      <c r="F167">
        <v>573.07000000000005</v>
      </c>
      <c r="G167" s="4">
        <f t="shared" si="2"/>
        <v>2000.0143000000003</v>
      </c>
      <c r="H167" t="s">
        <v>15</v>
      </c>
      <c r="I167" t="s">
        <v>19</v>
      </c>
      <c r="J167" t="s">
        <v>25</v>
      </c>
      <c r="K167" t="s">
        <v>13</v>
      </c>
    </row>
    <row r="168" spans="1:11" x14ac:dyDescent="0.3">
      <c r="A168">
        <v>167</v>
      </c>
      <c r="B168">
        <v>10492</v>
      </c>
      <c r="C168" s="1">
        <v>44880</v>
      </c>
      <c r="D168" t="s">
        <v>8</v>
      </c>
      <c r="E168">
        <v>3.49</v>
      </c>
      <c r="F168">
        <v>573.07000000000005</v>
      </c>
      <c r="G168" s="4">
        <f t="shared" si="2"/>
        <v>2000.0143000000003</v>
      </c>
      <c r="H168" t="s">
        <v>15</v>
      </c>
      <c r="I168" t="s">
        <v>19</v>
      </c>
      <c r="J168" t="s">
        <v>25</v>
      </c>
      <c r="K168" t="s">
        <v>13</v>
      </c>
    </row>
    <row r="169" spans="1:11" x14ac:dyDescent="0.3">
      <c r="A169">
        <v>168</v>
      </c>
      <c r="B169">
        <v>10497</v>
      </c>
      <c r="C169" s="1">
        <v>44881</v>
      </c>
      <c r="D169" t="s">
        <v>8</v>
      </c>
      <c r="E169">
        <v>3.49</v>
      </c>
      <c r="F169">
        <v>573.07000000000005</v>
      </c>
      <c r="G169" s="4">
        <f t="shared" si="2"/>
        <v>2000.0143000000003</v>
      </c>
      <c r="H169" t="s">
        <v>15</v>
      </c>
      <c r="I169" t="s">
        <v>19</v>
      </c>
      <c r="J169" t="s">
        <v>25</v>
      </c>
      <c r="K169" t="s">
        <v>13</v>
      </c>
    </row>
    <row r="170" spans="1:11" x14ac:dyDescent="0.3">
      <c r="A170">
        <v>169</v>
      </c>
      <c r="B170">
        <v>10572</v>
      </c>
      <c r="C170" s="1">
        <v>44896</v>
      </c>
      <c r="D170" t="s">
        <v>8</v>
      </c>
      <c r="E170">
        <v>3.49</v>
      </c>
      <c r="F170">
        <v>573.07000000000005</v>
      </c>
      <c r="G170" s="4">
        <f t="shared" si="2"/>
        <v>2000.0143000000003</v>
      </c>
      <c r="H170" t="s">
        <v>9</v>
      </c>
      <c r="I170" t="s">
        <v>19</v>
      </c>
      <c r="J170" t="s">
        <v>24</v>
      </c>
      <c r="K170" t="s">
        <v>23</v>
      </c>
    </row>
    <row r="171" spans="1:11" x14ac:dyDescent="0.3">
      <c r="A171">
        <v>170</v>
      </c>
      <c r="B171">
        <v>10592</v>
      </c>
      <c r="C171" s="1">
        <v>44900</v>
      </c>
      <c r="D171" t="s">
        <v>8</v>
      </c>
      <c r="E171">
        <v>3.49</v>
      </c>
      <c r="F171">
        <v>573.07000000000005</v>
      </c>
      <c r="G171" s="4">
        <f t="shared" si="2"/>
        <v>2000.0143000000003</v>
      </c>
      <c r="H171" t="s">
        <v>9</v>
      </c>
      <c r="I171" t="s">
        <v>19</v>
      </c>
      <c r="J171" t="s">
        <v>30</v>
      </c>
      <c r="K171" t="s">
        <v>11</v>
      </c>
    </row>
    <row r="172" spans="1:11" x14ac:dyDescent="0.3">
      <c r="A172">
        <v>171</v>
      </c>
      <c r="B172">
        <v>10597</v>
      </c>
      <c r="C172" s="1">
        <v>44901</v>
      </c>
      <c r="D172" t="s">
        <v>8</v>
      </c>
      <c r="E172">
        <v>3.49</v>
      </c>
      <c r="F172">
        <v>573.07000000000005</v>
      </c>
      <c r="G172" s="4">
        <f t="shared" si="2"/>
        <v>2000.0143000000003</v>
      </c>
      <c r="H172" t="s">
        <v>9</v>
      </c>
      <c r="I172" t="s">
        <v>19</v>
      </c>
      <c r="J172" t="s">
        <v>30</v>
      </c>
      <c r="K172" t="s">
        <v>11</v>
      </c>
    </row>
    <row r="173" spans="1:11" x14ac:dyDescent="0.3">
      <c r="A173">
        <v>172</v>
      </c>
      <c r="B173">
        <v>10463</v>
      </c>
      <c r="C173" s="1">
        <v>44874</v>
      </c>
      <c r="D173" t="s">
        <v>12</v>
      </c>
      <c r="E173">
        <v>2.95</v>
      </c>
      <c r="F173">
        <v>677.97</v>
      </c>
      <c r="G173" s="4">
        <f t="shared" si="2"/>
        <v>2000.0115000000003</v>
      </c>
      <c r="H173" t="s">
        <v>15</v>
      </c>
      <c r="I173" t="s">
        <v>19</v>
      </c>
      <c r="J173" t="s">
        <v>54</v>
      </c>
      <c r="K173" t="s">
        <v>23</v>
      </c>
    </row>
    <row r="174" spans="1:11" x14ac:dyDescent="0.3">
      <c r="A174">
        <v>173</v>
      </c>
      <c r="B174">
        <v>10468</v>
      </c>
      <c r="C174" s="1">
        <v>44875</v>
      </c>
      <c r="D174" t="s">
        <v>12</v>
      </c>
      <c r="E174">
        <v>2.95</v>
      </c>
      <c r="F174">
        <v>677.97</v>
      </c>
      <c r="G174" s="4">
        <f t="shared" si="2"/>
        <v>2000.0115000000003</v>
      </c>
      <c r="H174" t="s">
        <v>15</v>
      </c>
      <c r="I174" t="s">
        <v>19</v>
      </c>
      <c r="J174" t="s">
        <v>25</v>
      </c>
      <c r="K174" t="s">
        <v>13</v>
      </c>
    </row>
    <row r="175" spans="1:11" x14ac:dyDescent="0.3">
      <c r="A175">
        <v>174</v>
      </c>
      <c r="B175">
        <v>10473</v>
      </c>
      <c r="C175" s="1">
        <v>44876</v>
      </c>
      <c r="D175" t="s">
        <v>12</v>
      </c>
      <c r="E175">
        <v>2.95</v>
      </c>
      <c r="F175">
        <v>677.97</v>
      </c>
      <c r="G175" s="4">
        <f t="shared" si="2"/>
        <v>2000.0115000000003</v>
      </c>
      <c r="H175" t="s">
        <v>15</v>
      </c>
      <c r="I175" t="s">
        <v>19</v>
      </c>
      <c r="J175" t="s">
        <v>25</v>
      </c>
      <c r="K175" t="s">
        <v>13</v>
      </c>
    </row>
    <row r="176" spans="1:11" x14ac:dyDescent="0.3">
      <c r="A176">
        <v>175</v>
      </c>
      <c r="B176">
        <v>10478</v>
      </c>
      <c r="C176" s="1">
        <v>44877</v>
      </c>
      <c r="D176" t="s">
        <v>12</v>
      </c>
      <c r="E176">
        <v>2.95</v>
      </c>
      <c r="F176">
        <v>677.97</v>
      </c>
      <c r="G176" s="4">
        <f t="shared" si="2"/>
        <v>2000.0115000000003</v>
      </c>
      <c r="H176" t="s">
        <v>15</v>
      </c>
      <c r="I176" t="s">
        <v>19</v>
      </c>
      <c r="J176" t="s">
        <v>25</v>
      </c>
      <c r="K176" t="s">
        <v>13</v>
      </c>
    </row>
    <row r="177" spans="1:11" x14ac:dyDescent="0.3">
      <c r="A177">
        <v>176</v>
      </c>
      <c r="B177">
        <v>10488</v>
      </c>
      <c r="C177" s="1">
        <v>44879</v>
      </c>
      <c r="D177" t="s">
        <v>12</v>
      </c>
      <c r="E177">
        <v>2.95</v>
      </c>
      <c r="F177">
        <v>677.97</v>
      </c>
      <c r="G177" s="4">
        <f t="shared" si="2"/>
        <v>2000.0115000000003</v>
      </c>
      <c r="H177" t="s">
        <v>15</v>
      </c>
      <c r="I177" t="s">
        <v>19</v>
      </c>
      <c r="J177" t="s">
        <v>27</v>
      </c>
      <c r="K177" t="s">
        <v>17</v>
      </c>
    </row>
    <row r="178" spans="1:11" x14ac:dyDescent="0.3">
      <c r="A178">
        <v>177</v>
      </c>
      <c r="B178">
        <v>10493</v>
      </c>
      <c r="C178" s="1">
        <v>44880</v>
      </c>
      <c r="D178" t="s">
        <v>12</v>
      </c>
      <c r="E178">
        <v>2.95</v>
      </c>
      <c r="F178">
        <v>677.97</v>
      </c>
      <c r="G178" s="4">
        <f t="shared" si="2"/>
        <v>2000.0115000000003</v>
      </c>
      <c r="H178" t="s">
        <v>15</v>
      </c>
      <c r="I178" t="s">
        <v>19</v>
      </c>
      <c r="J178" t="s">
        <v>25</v>
      </c>
      <c r="K178" t="s">
        <v>13</v>
      </c>
    </row>
    <row r="179" spans="1:11" x14ac:dyDescent="0.3">
      <c r="A179">
        <v>178</v>
      </c>
      <c r="B179">
        <v>10498</v>
      </c>
      <c r="C179" s="1">
        <v>44881</v>
      </c>
      <c r="D179" t="s">
        <v>12</v>
      </c>
      <c r="E179">
        <v>2.95</v>
      </c>
      <c r="F179">
        <v>677.97</v>
      </c>
      <c r="G179" s="4">
        <f t="shared" si="2"/>
        <v>2000.0115000000003</v>
      </c>
      <c r="H179" t="s">
        <v>28</v>
      </c>
      <c r="I179" t="s">
        <v>19</v>
      </c>
      <c r="J179" t="s">
        <v>25</v>
      </c>
      <c r="K179" t="s">
        <v>13</v>
      </c>
    </row>
    <row r="180" spans="1:11" x14ac:dyDescent="0.3">
      <c r="A180">
        <v>179</v>
      </c>
      <c r="B180">
        <v>10503</v>
      </c>
      <c r="C180" s="1">
        <v>44882</v>
      </c>
      <c r="D180" t="s">
        <v>12</v>
      </c>
      <c r="E180">
        <v>2.95</v>
      </c>
      <c r="F180">
        <v>677.97</v>
      </c>
      <c r="G180" s="4">
        <f t="shared" si="2"/>
        <v>2000.0115000000003</v>
      </c>
      <c r="H180" t="s">
        <v>28</v>
      </c>
      <c r="I180" t="s">
        <v>19</v>
      </c>
      <c r="J180" t="s">
        <v>25</v>
      </c>
      <c r="K180" t="s">
        <v>13</v>
      </c>
    </row>
    <row r="181" spans="1:11" x14ac:dyDescent="0.3">
      <c r="A181">
        <v>180</v>
      </c>
      <c r="B181">
        <v>10508</v>
      </c>
      <c r="C181" s="1">
        <v>44883</v>
      </c>
      <c r="D181" t="s">
        <v>12</v>
      </c>
      <c r="E181">
        <v>2.95</v>
      </c>
      <c r="F181">
        <v>677.97</v>
      </c>
      <c r="G181" s="4">
        <f t="shared" si="2"/>
        <v>2000.0115000000003</v>
      </c>
      <c r="H181" t="s">
        <v>28</v>
      </c>
      <c r="I181" t="s">
        <v>19</v>
      </c>
      <c r="J181" t="s">
        <v>25</v>
      </c>
      <c r="K181" t="s">
        <v>13</v>
      </c>
    </row>
    <row r="182" spans="1:11" x14ac:dyDescent="0.3">
      <c r="A182">
        <v>181</v>
      </c>
      <c r="B182">
        <v>10513</v>
      </c>
      <c r="C182" s="1">
        <v>44884</v>
      </c>
      <c r="D182" t="s">
        <v>12</v>
      </c>
      <c r="E182">
        <v>2.95</v>
      </c>
      <c r="F182">
        <v>677.97</v>
      </c>
      <c r="G182" s="4">
        <f t="shared" si="2"/>
        <v>2000.0115000000003</v>
      </c>
      <c r="H182" t="s">
        <v>28</v>
      </c>
      <c r="I182" t="s">
        <v>29</v>
      </c>
      <c r="J182" t="s">
        <v>27</v>
      </c>
      <c r="K182" t="s">
        <v>17</v>
      </c>
    </row>
    <row r="183" spans="1:11" x14ac:dyDescent="0.3">
      <c r="A183">
        <v>182</v>
      </c>
      <c r="B183">
        <v>10483</v>
      </c>
      <c r="C183" s="1">
        <v>44878</v>
      </c>
      <c r="D183" t="s">
        <v>12</v>
      </c>
      <c r="E183">
        <v>2.95</v>
      </c>
      <c r="F183">
        <v>677.97</v>
      </c>
      <c r="G183" s="4">
        <f t="shared" si="2"/>
        <v>2000.0115000000003</v>
      </c>
      <c r="H183" t="s">
        <v>15</v>
      </c>
      <c r="I183" t="s">
        <v>19</v>
      </c>
      <c r="J183" t="s">
        <v>16</v>
      </c>
      <c r="K183" t="s">
        <v>17</v>
      </c>
    </row>
    <row r="184" spans="1:11" x14ac:dyDescent="0.3">
      <c r="A184">
        <v>183</v>
      </c>
      <c r="B184">
        <v>10558</v>
      </c>
      <c r="C184" s="1">
        <v>44893</v>
      </c>
      <c r="D184" t="s">
        <v>12</v>
      </c>
      <c r="E184">
        <v>2.95</v>
      </c>
      <c r="F184">
        <v>677.97</v>
      </c>
      <c r="G184" s="4">
        <f t="shared" si="2"/>
        <v>2000.0115000000003</v>
      </c>
      <c r="H184" t="s">
        <v>9</v>
      </c>
      <c r="I184" t="s">
        <v>19</v>
      </c>
      <c r="J184" t="s">
        <v>30</v>
      </c>
      <c r="K184" t="s">
        <v>11</v>
      </c>
    </row>
    <row r="185" spans="1:11" x14ac:dyDescent="0.3">
      <c r="A185">
        <v>184</v>
      </c>
      <c r="B185">
        <v>10563</v>
      </c>
      <c r="C185" s="1">
        <v>44894</v>
      </c>
      <c r="D185" t="s">
        <v>12</v>
      </c>
      <c r="E185">
        <v>2.95</v>
      </c>
      <c r="F185">
        <v>677.97</v>
      </c>
      <c r="G185" s="4">
        <f t="shared" si="2"/>
        <v>2000.0115000000003</v>
      </c>
      <c r="H185" t="s">
        <v>9</v>
      </c>
      <c r="I185" t="s">
        <v>19</v>
      </c>
      <c r="J185" t="s">
        <v>30</v>
      </c>
      <c r="K185" t="s">
        <v>11</v>
      </c>
    </row>
    <row r="186" spans="1:11" x14ac:dyDescent="0.3">
      <c r="A186">
        <v>185</v>
      </c>
      <c r="B186">
        <v>10568</v>
      </c>
      <c r="C186" s="1">
        <v>44895</v>
      </c>
      <c r="D186" t="s">
        <v>12</v>
      </c>
      <c r="E186">
        <v>2.95</v>
      </c>
      <c r="F186">
        <v>677.97</v>
      </c>
      <c r="G186" s="4">
        <f t="shared" si="2"/>
        <v>2000.0115000000003</v>
      </c>
      <c r="H186" t="s">
        <v>9</v>
      </c>
      <c r="I186" t="s">
        <v>19</v>
      </c>
      <c r="J186" t="s">
        <v>30</v>
      </c>
      <c r="K186" t="s">
        <v>11</v>
      </c>
    </row>
    <row r="187" spans="1:11" x14ac:dyDescent="0.3">
      <c r="A187">
        <v>186</v>
      </c>
      <c r="B187">
        <v>10573</v>
      </c>
      <c r="C187" s="1">
        <v>44896</v>
      </c>
      <c r="D187" t="s">
        <v>12</v>
      </c>
      <c r="E187">
        <v>2.95</v>
      </c>
      <c r="F187">
        <v>677.97</v>
      </c>
      <c r="G187" s="4">
        <f t="shared" si="2"/>
        <v>2000.0115000000003</v>
      </c>
      <c r="H187" t="s">
        <v>9</v>
      </c>
      <c r="I187" t="s">
        <v>19</v>
      </c>
      <c r="J187" t="s">
        <v>24</v>
      </c>
      <c r="K187" t="s">
        <v>23</v>
      </c>
    </row>
    <row r="188" spans="1:11" x14ac:dyDescent="0.3">
      <c r="A188">
        <v>187</v>
      </c>
      <c r="B188">
        <v>10578</v>
      </c>
      <c r="C188" s="1">
        <v>44897</v>
      </c>
      <c r="D188" t="s">
        <v>12</v>
      </c>
      <c r="E188">
        <v>2.95</v>
      </c>
      <c r="F188">
        <v>677.97</v>
      </c>
      <c r="G188" s="4">
        <f t="shared" si="2"/>
        <v>2000.0115000000003</v>
      </c>
      <c r="H188" t="s">
        <v>9</v>
      </c>
      <c r="I188" t="s">
        <v>19</v>
      </c>
      <c r="J188" t="s">
        <v>24</v>
      </c>
      <c r="K188" t="s">
        <v>23</v>
      </c>
    </row>
    <row r="189" spans="1:11" x14ac:dyDescent="0.3">
      <c r="A189">
        <v>188</v>
      </c>
      <c r="B189">
        <v>10583</v>
      </c>
      <c r="C189" s="1">
        <v>44898</v>
      </c>
      <c r="D189" t="s">
        <v>12</v>
      </c>
      <c r="E189">
        <v>2.95</v>
      </c>
      <c r="F189">
        <v>677.97</v>
      </c>
      <c r="G189" s="4">
        <f t="shared" si="2"/>
        <v>2000.0115000000003</v>
      </c>
      <c r="H189" t="s">
        <v>9</v>
      </c>
      <c r="I189" t="s">
        <v>19</v>
      </c>
      <c r="J189" t="s">
        <v>30</v>
      </c>
      <c r="K189" t="s">
        <v>11</v>
      </c>
    </row>
    <row r="190" spans="1:11" x14ac:dyDescent="0.3">
      <c r="A190">
        <v>189</v>
      </c>
      <c r="B190">
        <v>10593</v>
      </c>
      <c r="C190" s="1">
        <v>44900</v>
      </c>
      <c r="D190" t="s">
        <v>12</v>
      </c>
      <c r="E190">
        <v>2.95</v>
      </c>
      <c r="F190">
        <v>677.97</v>
      </c>
      <c r="G190" s="4">
        <f t="shared" si="2"/>
        <v>2000.0115000000003</v>
      </c>
      <c r="H190" t="s">
        <v>9</v>
      </c>
      <c r="I190" t="s">
        <v>19</v>
      </c>
      <c r="J190" t="s">
        <v>30</v>
      </c>
      <c r="K190" t="s">
        <v>11</v>
      </c>
    </row>
    <row r="191" spans="1:11" x14ac:dyDescent="0.3">
      <c r="A191">
        <v>190</v>
      </c>
      <c r="B191">
        <v>10598</v>
      </c>
      <c r="C191" s="1">
        <v>44901</v>
      </c>
      <c r="D191" t="s">
        <v>12</v>
      </c>
      <c r="E191">
        <v>2.95</v>
      </c>
      <c r="F191">
        <v>677.97</v>
      </c>
      <c r="G191" s="4">
        <f t="shared" si="2"/>
        <v>2000.0115000000003</v>
      </c>
      <c r="H191" t="s">
        <v>9</v>
      </c>
      <c r="I191" t="s">
        <v>19</v>
      </c>
      <c r="J191" t="s">
        <v>30</v>
      </c>
      <c r="K191" t="s">
        <v>11</v>
      </c>
    </row>
    <row r="192" spans="1:11" x14ac:dyDescent="0.3">
      <c r="A192">
        <v>191</v>
      </c>
      <c r="B192">
        <v>10603</v>
      </c>
      <c r="C192" s="1">
        <v>44902</v>
      </c>
      <c r="D192" t="s">
        <v>12</v>
      </c>
      <c r="E192">
        <v>2.95</v>
      </c>
      <c r="F192">
        <v>677.97</v>
      </c>
      <c r="G192" s="4">
        <f t="shared" si="2"/>
        <v>2000.0115000000003</v>
      </c>
      <c r="H192" t="s">
        <v>9</v>
      </c>
      <c r="I192" t="s">
        <v>29</v>
      </c>
      <c r="J192" t="s">
        <v>30</v>
      </c>
      <c r="K192" t="s">
        <v>11</v>
      </c>
    </row>
    <row r="193" spans="1:11" x14ac:dyDescent="0.3">
      <c r="A193">
        <v>192</v>
      </c>
      <c r="B193">
        <v>10608</v>
      </c>
      <c r="C193" s="1">
        <v>44903</v>
      </c>
      <c r="D193" t="s">
        <v>12</v>
      </c>
      <c r="E193">
        <v>2.95</v>
      </c>
      <c r="F193">
        <v>677.97</v>
      </c>
      <c r="G193" s="4">
        <f t="shared" si="2"/>
        <v>2000.0115000000003</v>
      </c>
      <c r="H193" t="s">
        <v>9</v>
      </c>
      <c r="I193" t="s">
        <v>10</v>
      </c>
      <c r="J193" t="s">
        <v>30</v>
      </c>
      <c r="K193" t="s">
        <v>11</v>
      </c>
    </row>
    <row r="194" spans="1:11" x14ac:dyDescent="0.3">
      <c r="A194">
        <v>193</v>
      </c>
      <c r="B194">
        <v>10613</v>
      </c>
      <c r="C194" s="1">
        <v>44904</v>
      </c>
      <c r="D194" t="s">
        <v>12</v>
      </c>
      <c r="E194">
        <v>2.95</v>
      </c>
      <c r="F194">
        <v>677.97</v>
      </c>
      <c r="G194" s="4">
        <f t="shared" ref="G194:G255" si="3">E194*F194</f>
        <v>2000.0115000000003</v>
      </c>
      <c r="H194" t="s">
        <v>9</v>
      </c>
      <c r="I194" t="s">
        <v>10</v>
      </c>
      <c r="J194" t="s">
        <v>30</v>
      </c>
      <c r="K194" t="s">
        <v>11</v>
      </c>
    </row>
    <row r="195" spans="1:11" x14ac:dyDescent="0.3">
      <c r="A195">
        <v>194</v>
      </c>
      <c r="B195">
        <v>10618</v>
      </c>
      <c r="C195" s="1">
        <v>44905</v>
      </c>
      <c r="D195" t="s">
        <v>12</v>
      </c>
      <c r="E195">
        <v>2.95</v>
      </c>
      <c r="F195">
        <v>677.97</v>
      </c>
      <c r="G195" s="4">
        <f t="shared" si="3"/>
        <v>2000.0115000000003</v>
      </c>
      <c r="H195" t="s">
        <v>9</v>
      </c>
      <c r="I195" t="s">
        <v>10</v>
      </c>
      <c r="J195" t="s">
        <v>30</v>
      </c>
      <c r="K195" t="s">
        <v>11</v>
      </c>
    </row>
    <row r="196" spans="1:11" x14ac:dyDescent="0.3">
      <c r="A196">
        <v>195</v>
      </c>
      <c r="B196">
        <v>10628</v>
      </c>
      <c r="C196" s="1">
        <v>44907</v>
      </c>
      <c r="D196" t="s">
        <v>12</v>
      </c>
      <c r="E196">
        <v>2.95</v>
      </c>
      <c r="F196">
        <v>677.97</v>
      </c>
      <c r="G196" s="4">
        <f t="shared" si="3"/>
        <v>2000.0115000000003</v>
      </c>
      <c r="H196" t="s">
        <v>9</v>
      </c>
      <c r="I196" t="s">
        <v>10</v>
      </c>
      <c r="J196" t="s">
        <v>27</v>
      </c>
      <c r="K196" t="s">
        <v>17</v>
      </c>
    </row>
    <row r="197" spans="1:11" x14ac:dyDescent="0.3">
      <c r="A197">
        <v>196</v>
      </c>
      <c r="B197">
        <v>10633</v>
      </c>
      <c r="C197" s="1">
        <v>44908</v>
      </c>
      <c r="D197" t="s">
        <v>12</v>
      </c>
      <c r="E197">
        <v>2.95</v>
      </c>
      <c r="F197">
        <v>677.97</v>
      </c>
      <c r="G197" s="4">
        <f t="shared" si="3"/>
        <v>2000.0115000000003</v>
      </c>
      <c r="H197" t="s">
        <v>9</v>
      </c>
      <c r="I197" t="s">
        <v>10</v>
      </c>
      <c r="J197" t="s">
        <v>27</v>
      </c>
      <c r="K197" t="s">
        <v>17</v>
      </c>
    </row>
    <row r="198" spans="1:11" x14ac:dyDescent="0.3">
      <c r="A198">
        <v>197</v>
      </c>
      <c r="B198">
        <v>10638</v>
      </c>
      <c r="C198" s="1">
        <v>44909</v>
      </c>
      <c r="D198" t="s">
        <v>12</v>
      </c>
      <c r="E198">
        <v>2.95</v>
      </c>
      <c r="F198">
        <v>677.97</v>
      </c>
      <c r="G198" s="4">
        <f t="shared" si="3"/>
        <v>2000.0115000000003</v>
      </c>
      <c r="H198" t="s">
        <v>9</v>
      </c>
      <c r="I198" t="s">
        <v>10</v>
      </c>
      <c r="J198" t="s">
        <v>27</v>
      </c>
      <c r="K198" t="s">
        <v>17</v>
      </c>
    </row>
    <row r="199" spans="1:11" x14ac:dyDescent="0.3">
      <c r="A199">
        <v>198</v>
      </c>
      <c r="B199">
        <v>10643</v>
      </c>
      <c r="C199" s="1">
        <v>44910</v>
      </c>
      <c r="D199" t="s">
        <v>12</v>
      </c>
      <c r="E199">
        <v>2.95</v>
      </c>
      <c r="F199">
        <v>677.97</v>
      </c>
      <c r="G199" s="4">
        <f t="shared" si="3"/>
        <v>2000.0115000000003</v>
      </c>
      <c r="H199" t="s">
        <v>9</v>
      </c>
      <c r="I199" t="s">
        <v>29</v>
      </c>
      <c r="J199" t="s">
        <v>27</v>
      </c>
      <c r="K199" t="s">
        <v>17</v>
      </c>
    </row>
    <row r="200" spans="1:11" x14ac:dyDescent="0.3">
      <c r="A200">
        <v>199</v>
      </c>
      <c r="B200">
        <v>10683</v>
      </c>
      <c r="C200" s="1">
        <v>44918</v>
      </c>
      <c r="D200" t="s">
        <v>12</v>
      </c>
      <c r="E200">
        <v>2.95</v>
      </c>
      <c r="F200">
        <v>677.97</v>
      </c>
      <c r="G200" s="4">
        <f t="shared" si="3"/>
        <v>2000.0115000000003</v>
      </c>
      <c r="H200" t="s">
        <v>15</v>
      </c>
      <c r="I200" t="s">
        <v>29</v>
      </c>
      <c r="J200" t="s">
        <v>27</v>
      </c>
      <c r="K200" t="s">
        <v>17</v>
      </c>
    </row>
    <row r="201" spans="1:11" x14ac:dyDescent="0.3">
      <c r="A201">
        <v>200</v>
      </c>
      <c r="B201">
        <v>10688</v>
      </c>
      <c r="C201" s="1">
        <v>44919</v>
      </c>
      <c r="D201" t="s">
        <v>12</v>
      </c>
      <c r="E201">
        <v>2.95</v>
      </c>
      <c r="F201">
        <v>677.97</v>
      </c>
      <c r="G201" s="4">
        <f t="shared" si="3"/>
        <v>2000.0115000000003</v>
      </c>
      <c r="H201" t="s">
        <v>15</v>
      </c>
      <c r="I201" t="s">
        <v>29</v>
      </c>
      <c r="J201" t="s">
        <v>20</v>
      </c>
      <c r="K201" t="s">
        <v>21</v>
      </c>
    </row>
    <row r="202" spans="1:11" x14ac:dyDescent="0.3">
      <c r="A202">
        <v>201</v>
      </c>
      <c r="B202">
        <v>10693</v>
      </c>
      <c r="C202" s="1">
        <v>44920</v>
      </c>
      <c r="D202" t="s">
        <v>12</v>
      </c>
      <c r="E202">
        <v>2.95</v>
      </c>
      <c r="F202">
        <v>677.97</v>
      </c>
      <c r="G202" s="4">
        <f t="shared" si="3"/>
        <v>2000.0115000000003</v>
      </c>
      <c r="H202" t="s">
        <v>15</v>
      </c>
      <c r="I202" t="s">
        <v>29</v>
      </c>
      <c r="J202" t="s">
        <v>20</v>
      </c>
      <c r="K202" t="s">
        <v>21</v>
      </c>
    </row>
    <row r="203" spans="1:11" x14ac:dyDescent="0.3">
      <c r="A203">
        <v>202</v>
      </c>
      <c r="B203">
        <v>10698</v>
      </c>
      <c r="C203" s="1">
        <v>44921</v>
      </c>
      <c r="D203" t="s">
        <v>12</v>
      </c>
      <c r="E203">
        <v>2.95</v>
      </c>
      <c r="F203">
        <v>677.97</v>
      </c>
      <c r="G203" s="4">
        <f t="shared" si="3"/>
        <v>2000.0115000000003</v>
      </c>
      <c r="H203" t="s">
        <v>15</v>
      </c>
      <c r="I203" t="s">
        <v>29</v>
      </c>
      <c r="J203" t="s">
        <v>20</v>
      </c>
      <c r="K203" t="s">
        <v>21</v>
      </c>
    </row>
    <row r="204" spans="1:11" x14ac:dyDescent="0.3">
      <c r="A204">
        <v>203</v>
      </c>
      <c r="B204">
        <v>10703</v>
      </c>
      <c r="C204" s="1">
        <v>44922</v>
      </c>
      <c r="D204" t="s">
        <v>12</v>
      </c>
      <c r="E204">
        <v>2.95</v>
      </c>
      <c r="F204">
        <v>677.97</v>
      </c>
      <c r="G204" s="4">
        <f t="shared" si="3"/>
        <v>2000.0115000000003</v>
      </c>
      <c r="H204" t="s">
        <v>15</v>
      </c>
      <c r="I204" t="s">
        <v>10</v>
      </c>
      <c r="J204" t="s">
        <v>20</v>
      </c>
      <c r="K204" t="s">
        <v>21</v>
      </c>
    </row>
    <row r="205" spans="1:11" x14ac:dyDescent="0.3">
      <c r="A205">
        <v>204</v>
      </c>
      <c r="B205">
        <v>10708</v>
      </c>
      <c r="C205" s="1">
        <v>44923</v>
      </c>
      <c r="D205" t="s">
        <v>12</v>
      </c>
      <c r="E205">
        <v>2.95</v>
      </c>
      <c r="F205">
        <v>677.97</v>
      </c>
      <c r="G205" s="4">
        <f t="shared" si="3"/>
        <v>2000.0115000000003</v>
      </c>
      <c r="H205" t="s">
        <v>28</v>
      </c>
      <c r="I205" t="s">
        <v>10</v>
      </c>
      <c r="J205" t="s">
        <v>20</v>
      </c>
      <c r="K205" t="s">
        <v>21</v>
      </c>
    </row>
    <row r="206" spans="1:11" x14ac:dyDescent="0.3">
      <c r="A206">
        <v>205</v>
      </c>
      <c r="B206">
        <v>10713</v>
      </c>
      <c r="C206" s="1">
        <v>44924</v>
      </c>
      <c r="D206" t="s">
        <v>12</v>
      </c>
      <c r="E206">
        <v>2.95</v>
      </c>
      <c r="F206">
        <v>677.97</v>
      </c>
      <c r="G206" s="4">
        <f t="shared" si="3"/>
        <v>2000.0115000000003</v>
      </c>
      <c r="H206" t="s">
        <v>28</v>
      </c>
      <c r="I206" t="s">
        <v>10</v>
      </c>
      <c r="J206" t="s">
        <v>20</v>
      </c>
      <c r="K206" t="s">
        <v>21</v>
      </c>
    </row>
    <row r="207" spans="1:11" x14ac:dyDescent="0.3">
      <c r="A207">
        <v>206</v>
      </c>
      <c r="B207">
        <v>10454</v>
      </c>
      <c r="C207" s="1">
        <v>44872</v>
      </c>
      <c r="D207" t="s">
        <v>14</v>
      </c>
      <c r="E207">
        <v>4.99</v>
      </c>
      <c r="F207">
        <v>200.4</v>
      </c>
      <c r="G207" s="4">
        <f t="shared" si="3"/>
        <v>999.99600000000009</v>
      </c>
      <c r="H207" t="s">
        <v>15</v>
      </c>
      <c r="I207" t="s">
        <v>10</v>
      </c>
      <c r="J207" t="s">
        <v>27</v>
      </c>
      <c r="K207" t="s">
        <v>17</v>
      </c>
    </row>
    <row r="208" spans="1:11" x14ac:dyDescent="0.3">
      <c r="A208">
        <v>207</v>
      </c>
      <c r="B208">
        <v>10459</v>
      </c>
      <c r="C208" s="1">
        <v>44873</v>
      </c>
      <c r="D208" t="s">
        <v>14</v>
      </c>
      <c r="E208">
        <v>4.99</v>
      </c>
      <c r="F208">
        <v>200.4</v>
      </c>
      <c r="G208" s="4">
        <f t="shared" si="3"/>
        <v>999.99600000000009</v>
      </c>
      <c r="H208" t="s">
        <v>15</v>
      </c>
      <c r="I208" t="s">
        <v>19</v>
      </c>
      <c r="J208" t="s">
        <v>20</v>
      </c>
      <c r="K208" t="s">
        <v>21</v>
      </c>
    </row>
    <row r="209" spans="1:11" x14ac:dyDescent="0.3">
      <c r="A209">
        <v>208</v>
      </c>
      <c r="B209">
        <v>10464</v>
      </c>
      <c r="C209" s="1">
        <v>44874</v>
      </c>
      <c r="D209" t="s">
        <v>14</v>
      </c>
      <c r="E209">
        <v>4.99</v>
      </c>
      <c r="F209">
        <v>200.4</v>
      </c>
      <c r="G209" s="4">
        <f t="shared" si="3"/>
        <v>999.99600000000009</v>
      </c>
      <c r="H209" t="s">
        <v>15</v>
      </c>
      <c r="I209" t="s">
        <v>19</v>
      </c>
      <c r="J209" t="s">
        <v>24</v>
      </c>
      <c r="K209" t="s">
        <v>23</v>
      </c>
    </row>
    <row r="210" spans="1:11" x14ac:dyDescent="0.3">
      <c r="A210">
        <v>209</v>
      </c>
      <c r="B210">
        <v>10474</v>
      </c>
      <c r="C210" s="1">
        <v>44876</v>
      </c>
      <c r="D210" t="s">
        <v>14</v>
      </c>
      <c r="E210">
        <v>4.99</v>
      </c>
      <c r="F210">
        <v>200.4</v>
      </c>
      <c r="G210" s="4">
        <f t="shared" si="3"/>
        <v>999.99600000000009</v>
      </c>
      <c r="H210" t="s">
        <v>15</v>
      </c>
      <c r="I210" t="s">
        <v>19</v>
      </c>
      <c r="J210" t="s">
        <v>25</v>
      </c>
      <c r="K210" t="s">
        <v>13</v>
      </c>
    </row>
    <row r="211" spans="1:11" x14ac:dyDescent="0.3">
      <c r="A211">
        <v>210</v>
      </c>
      <c r="B211">
        <v>10479</v>
      </c>
      <c r="C211" s="1">
        <v>44877</v>
      </c>
      <c r="D211" t="s">
        <v>14</v>
      </c>
      <c r="E211">
        <v>4.99</v>
      </c>
      <c r="F211">
        <v>200.4</v>
      </c>
      <c r="G211" s="4">
        <f t="shared" si="3"/>
        <v>999.99600000000009</v>
      </c>
      <c r="H211" t="s">
        <v>15</v>
      </c>
      <c r="I211" t="s">
        <v>19</v>
      </c>
      <c r="J211" t="s">
        <v>25</v>
      </c>
      <c r="K211" t="s">
        <v>13</v>
      </c>
    </row>
    <row r="212" spans="1:11" x14ac:dyDescent="0.3">
      <c r="A212">
        <v>211</v>
      </c>
      <c r="B212">
        <v>10489</v>
      </c>
      <c r="C212" s="1">
        <v>44879</v>
      </c>
      <c r="D212" t="s">
        <v>14</v>
      </c>
      <c r="E212">
        <v>4.99</v>
      </c>
      <c r="F212">
        <v>200.4</v>
      </c>
      <c r="G212" s="4">
        <f t="shared" si="3"/>
        <v>999.99600000000009</v>
      </c>
      <c r="H212" t="s">
        <v>15</v>
      </c>
      <c r="I212" t="s">
        <v>19</v>
      </c>
      <c r="J212" t="s">
        <v>25</v>
      </c>
      <c r="K212" t="s">
        <v>13</v>
      </c>
    </row>
    <row r="213" spans="1:11" x14ac:dyDescent="0.3">
      <c r="A213">
        <v>212</v>
      </c>
      <c r="B213">
        <v>10494</v>
      </c>
      <c r="C213" s="1">
        <v>44880</v>
      </c>
      <c r="D213" t="s">
        <v>14</v>
      </c>
      <c r="E213">
        <v>4.99</v>
      </c>
      <c r="F213">
        <v>200.4</v>
      </c>
      <c r="G213" s="4">
        <f t="shared" si="3"/>
        <v>999.99600000000009</v>
      </c>
      <c r="H213" t="s">
        <v>15</v>
      </c>
      <c r="I213" t="s">
        <v>19</v>
      </c>
      <c r="J213" t="s">
        <v>25</v>
      </c>
      <c r="K213" t="s">
        <v>13</v>
      </c>
    </row>
    <row r="214" spans="1:11" x14ac:dyDescent="0.3">
      <c r="A214">
        <v>213</v>
      </c>
      <c r="B214">
        <v>10499</v>
      </c>
      <c r="C214" s="1">
        <v>44881</v>
      </c>
      <c r="D214" t="s">
        <v>14</v>
      </c>
      <c r="E214">
        <v>4.99</v>
      </c>
      <c r="F214">
        <v>200.4</v>
      </c>
      <c r="G214" s="4">
        <f t="shared" si="3"/>
        <v>999.99600000000009</v>
      </c>
      <c r="H214" t="s">
        <v>28</v>
      </c>
      <c r="I214" t="s">
        <v>19</v>
      </c>
      <c r="J214" t="s">
        <v>25</v>
      </c>
      <c r="K214" t="s">
        <v>13</v>
      </c>
    </row>
    <row r="215" spans="1:11" x14ac:dyDescent="0.3">
      <c r="A215">
        <v>214</v>
      </c>
      <c r="B215">
        <v>10504</v>
      </c>
      <c r="C215" s="1">
        <v>44882</v>
      </c>
      <c r="D215" t="s">
        <v>14</v>
      </c>
      <c r="E215">
        <v>4.99</v>
      </c>
      <c r="F215">
        <v>200.4</v>
      </c>
      <c r="G215" s="4">
        <f t="shared" si="3"/>
        <v>999.99600000000009</v>
      </c>
      <c r="H215" t="s">
        <v>28</v>
      </c>
      <c r="I215" t="s">
        <v>19</v>
      </c>
      <c r="J215" t="s">
        <v>25</v>
      </c>
      <c r="K215" t="s">
        <v>13</v>
      </c>
    </row>
    <row r="216" spans="1:11" x14ac:dyDescent="0.3">
      <c r="A216">
        <v>215</v>
      </c>
      <c r="B216">
        <v>10509</v>
      </c>
      <c r="C216" s="1">
        <v>44883</v>
      </c>
      <c r="D216" t="s">
        <v>14</v>
      </c>
      <c r="E216">
        <v>4.99</v>
      </c>
      <c r="F216">
        <v>200.4</v>
      </c>
      <c r="G216" s="4">
        <f t="shared" si="3"/>
        <v>999.99600000000009</v>
      </c>
      <c r="H216" t="s">
        <v>28</v>
      </c>
      <c r="I216" t="s">
        <v>19</v>
      </c>
      <c r="J216" t="s">
        <v>25</v>
      </c>
      <c r="K216" t="s">
        <v>13</v>
      </c>
    </row>
    <row r="217" spans="1:11" x14ac:dyDescent="0.3">
      <c r="A217">
        <v>216</v>
      </c>
      <c r="B217">
        <v>10514</v>
      </c>
      <c r="C217" s="1">
        <v>44884</v>
      </c>
      <c r="D217" t="s">
        <v>14</v>
      </c>
      <c r="E217">
        <v>4.99</v>
      </c>
      <c r="F217">
        <v>200.4</v>
      </c>
      <c r="G217" s="4">
        <f t="shared" si="3"/>
        <v>999.99600000000009</v>
      </c>
      <c r="H217" t="s">
        <v>28</v>
      </c>
      <c r="I217" t="s">
        <v>29</v>
      </c>
      <c r="J217" t="s">
        <v>27</v>
      </c>
      <c r="K217" t="s">
        <v>17</v>
      </c>
    </row>
    <row r="218" spans="1:11" x14ac:dyDescent="0.3">
      <c r="A218">
        <v>217</v>
      </c>
      <c r="B218">
        <v>10484</v>
      </c>
      <c r="C218" s="1">
        <v>44878</v>
      </c>
      <c r="D218" t="s">
        <v>14</v>
      </c>
      <c r="E218">
        <v>4.99</v>
      </c>
      <c r="F218">
        <v>200.4</v>
      </c>
      <c r="G218" s="4">
        <f t="shared" si="3"/>
        <v>999.99600000000009</v>
      </c>
      <c r="H218" t="s">
        <v>15</v>
      </c>
      <c r="I218" t="s">
        <v>19</v>
      </c>
      <c r="J218" t="s">
        <v>27</v>
      </c>
      <c r="K218" t="s">
        <v>17</v>
      </c>
    </row>
    <row r="219" spans="1:11" x14ac:dyDescent="0.3">
      <c r="A219">
        <v>218</v>
      </c>
      <c r="B219">
        <v>10524</v>
      </c>
      <c r="C219" s="1">
        <v>44886</v>
      </c>
      <c r="D219" t="s">
        <v>14</v>
      </c>
      <c r="E219">
        <v>4.99</v>
      </c>
      <c r="F219">
        <v>200.4</v>
      </c>
      <c r="G219" s="4">
        <f t="shared" si="3"/>
        <v>999.99600000000009</v>
      </c>
      <c r="H219" t="s">
        <v>28</v>
      </c>
      <c r="I219" t="s">
        <v>29</v>
      </c>
      <c r="J219" t="s">
        <v>24</v>
      </c>
      <c r="K219" t="s">
        <v>23</v>
      </c>
    </row>
    <row r="220" spans="1:11" x14ac:dyDescent="0.3">
      <c r="A220">
        <v>219</v>
      </c>
      <c r="B220">
        <v>10529</v>
      </c>
      <c r="C220" s="1">
        <v>44887</v>
      </c>
      <c r="D220" t="s">
        <v>14</v>
      </c>
      <c r="E220">
        <v>4.99</v>
      </c>
      <c r="F220">
        <v>200.4</v>
      </c>
      <c r="G220" s="4">
        <f t="shared" si="3"/>
        <v>999.99600000000009</v>
      </c>
      <c r="H220" t="s">
        <v>28</v>
      </c>
      <c r="I220" t="s">
        <v>29</v>
      </c>
      <c r="J220" t="s">
        <v>24</v>
      </c>
      <c r="K220" t="s">
        <v>23</v>
      </c>
    </row>
    <row r="221" spans="1:11" x14ac:dyDescent="0.3">
      <c r="A221">
        <v>220</v>
      </c>
      <c r="B221">
        <v>10534</v>
      </c>
      <c r="C221" s="1">
        <v>44888</v>
      </c>
      <c r="D221" t="s">
        <v>14</v>
      </c>
      <c r="E221">
        <v>4.99</v>
      </c>
      <c r="F221">
        <v>200.4</v>
      </c>
      <c r="G221" s="4">
        <f t="shared" si="3"/>
        <v>999.99600000000009</v>
      </c>
      <c r="H221" t="s">
        <v>28</v>
      </c>
      <c r="I221" t="s">
        <v>29</v>
      </c>
      <c r="J221" t="s">
        <v>25</v>
      </c>
      <c r="K221" t="s">
        <v>13</v>
      </c>
    </row>
    <row r="222" spans="1:11" x14ac:dyDescent="0.3">
      <c r="A222">
        <v>221</v>
      </c>
      <c r="B222">
        <v>10544</v>
      </c>
      <c r="C222" s="1">
        <v>44890</v>
      </c>
      <c r="D222" t="s">
        <v>14</v>
      </c>
      <c r="E222">
        <v>4.99</v>
      </c>
      <c r="F222">
        <v>200.4</v>
      </c>
      <c r="G222" s="4">
        <f t="shared" si="3"/>
        <v>999.99600000000009</v>
      </c>
      <c r="H222" t="s">
        <v>28</v>
      </c>
      <c r="I222" t="s">
        <v>19</v>
      </c>
      <c r="J222" t="s">
        <v>30</v>
      </c>
      <c r="K222" t="s">
        <v>11</v>
      </c>
    </row>
    <row r="223" spans="1:11" x14ac:dyDescent="0.3">
      <c r="A223">
        <v>222</v>
      </c>
      <c r="B223">
        <v>10549</v>
      </c>
      <c r="C223" s="1">
        <v>44891</v>
      </c>
      <c r="D223" t="s">
        <v>14</v>
      </c>
      <c r="E223">
        <v>4.99</v>
      </c>
      <c r="F223">
        <v>200.4</v>
      </c>
      <c r="G223" s="4">
        <f t="shared" si="3"/>
        <v>999.99600000000009</v>
      </c>
      <c r="H223" t="s">
        <v>28</v>
      </c>
      <c r="I223" t="s">
        <v>19</v>
      </c>
      <c r="J223" t="s">
        <v>30</v>
      </c>
      <c r="K223" t="s">
        <v>11</v>
      </c>
    </row>
    <row r="224" spans="1:11" x14ac:dyDescent="0.3">
      <c r="A224">
        <v>223</v>
      </c>
      <c r="B224">
        <v>10554</v>
      </c>
      <c r="C224" s="1">
        <v>44892</v>
      </c>
      <c r="D224" t="s">
        <v>14</v>
      </c>
      <c r="E224">
        <v>4.99</v>
      </c>
      <c r="F224">
        <v>200.4</v>
      </c>
      <c r="G224" s="4">
        <f t="shared" si="3"/>
        <v>999.99600000000009</v>
      </c>
      <c r="H224" t="s">
        <v>9</v>
      </c>
      <c r="I224" t="s">
        <v>19</v>
      </c>
      <c r="J224" t="s">
        <v>30</v>
      </c>
      <c r="K224" t="s">
        <v>11</v>
      </c>
    </row>
    <row r="225" spans="1:18" x14ac:dyDescent="0.3">
      <c r="A225">
        <v>224</v>
      </c>
      <c r="B225">
        <v>10559</v>
      </c>
      <c r="C225" s="1">
        <v>44893</v>
      </c>
      <c r="D225" t="s">
        <v>14</v>
      </c>
      <c r="E225">
        <v>4.99</v>
      </c>
      <c r="F225">
        <v>200.4</v>
      </c>
      <c r="G225" s="4">
        <f t="shared" si="3"/>
        <v>999.99600000000009</v>
      </c>
      <c r="H225" t="s">
        <v>9</v>
      </c>
      <c r="I225" t="s">
        <v>19</v>
      </c>
      <c r="J225" t="s">
        <v>30</v>
      </c>
      <c r="K225" t="s">
        <v>11</v>
      </c>
    </row>
    <row r="226" spans="1:18" x14ac:dyDescent="0.3">
      <c r="A226">
        <v>225</v>
      </c>
      <c r="B226">
        <v>10564</v>
      </c>
      <c r="C226" s="1">
        <v>44894</v>
      </c>
      <c r="D226" t="s">
        <v>14</v>
      </c>
      <c r="E226">
        <v>4.99</v>
      </c>
      <c r="F226">
        <v>200.4</v>
      </c>
      <c r="G226" s="4">
        <f t="shared" si="3"/>
        <v>999.99600000000009</v>
      </c>
      <c r="H226" t="s">
        <v>9</v>
      </c>
      <c r="I226" t="s">
        <v>19</v>
      </c>
      <c r="J226" t="s">
        <v>30</v>
      </c>
      <c r="K226" t="s">
        <v>11</v>
      </c>
    </row>
    <row r="227" spans="1:18" x14ac:dyDescent="0.3">
      <c r="A227">
        <v>226</v>
      </c>
      <c r="B227">
        <v>10569</v>
      </c>
      <c r="C227" s="1">
        <v>44895</v>
      </c>
      <c r="D227" t="s">
        <v>14</v>
      </c>
      <c r="E227">
        <v>4.99</v>
      </c>
      <c r="F227">
        <v>200.4</v>
      </c>
      <c r="G227" s="4">
        <f t="shared" si="3"/>
        <v>999.99600000000009</v>
      </c>
      <c r="H227" t="s">
        <v>9</v>
      </c>
      <c r="I227" t="s">
        <v>19</v>
      </c>
      <c r="J227" t="s">
        <v>30</v>
      </c>
      <c r="K227" t="s">
        <v>11</v>
      </c>
    </row>
    <row r="228" spans="1:18" x14ac:dyDescent="0.3">
      <c r="A228">
        <v>227</v>
      </c>
      <c r="B228">
        <v>10574</v>
      </c>
      <c r="C228" s="1">
        <v>44896</v>
      </c>
      <c r="D228" t="s">
        <v>14</v>
      </c>
      <c r="E228">
        <v>4.99</v>
      </c>
      <c r="F228">
        <v>200.4</v>
      </c>
      <c r="G228" s="4">
        <f t="shared" si="3"/>
        <v>999.99600000000009</v>
      </c>
      <c r="H228" t="s">
        <v>9</v>
      </c>
      <c r="I228" t="s">
        <v>19</v>
      </c>
      <c r="J228" t="s">
        <v>24</v>
      </c>
      <c r="K228" t="s">
        <v>23</v>
      </c>
    </row>
    <row r="229" spans="1:18" x14ac:dyDescent="0.3">
      <c r="A229">
        <v>228</v>
      </c>
      <c r="B229">
        <v>10579</v>
      </c>
      <c r="C229" s="1">
        <v>44897</v>
      </c>
      <c r="D229" t="s">
        <v>14</v>
      </c>
      <c r="E229">
        <v>4.99</v>
      </c>
      <c r="F229">
        <v>200.4</v>
      </c>
      <c r="G229" s="4">
        <f t="shared" si="3"/>
        <v>999.99600000000009</v>
      </c>
      <c r="H229" t="s">
        <v>9</v>
      </c>
      <c r="I229" t="s">
        <v>19</v>
      </c>
      <c r="J229" t="s">
        <v>24</v>
      </c>
      <c r="K229" t="s">
        <v>23</v>
      </c>
    </row>
    <row r="230" spans="1:18" x14ac:dyDescent="0.3">
      <c r="A230">
        <v>229</v>
      </c>
      <c r="B230">
        <v>10584</v>
      </c>
      <c r="C230" s="1">
        <v>44898</v>
      </c>
      <c r="D230" t="s">
        <v>14</v>
      </c>
      <c r="E230">
        <v>4.99</v>
      </c>
      <c r="F230">
        <v>200.4</v>
      </c>
      <c r="G230" s="4">
        <f t="shared" si="3"/>
        <v>999.99600000000009</v>
      </c>
      <c r="H230" t="s">
        <v>9</v>
      </c>
      <c r="I230" t="s">
        <v>19</v>
      </c>
      <c r="J230" t="s">
        <v>30</v>
      </c>
      <c r="K230" t="s">
        <v>11</v>
      </c>
    </row>
    <row r="231" spans="1:18" x14ac:dyDescent="0.3">
      <c r="A231">
        <v>230</v>
      </c>
      <c r="B231">
        <v>10539</v>
      </c>
      <c r="C231" s="1">
        <v>44889</v>
      </c>
      <c r="D231" t="s">
        <v>14</v>
      </c>
      <c r="E231">
        <v>4.99</v>
      </c>
      <c r="F231">
        <v>200.4</v>
      </c>
      <c r="G231" s="4">
        <f t="shared" si="3"/>
        <v>999.99600000000009</v>
      </c>
      <c r="H231" t="s">
        <v>28</v>
      </c>
      <c r="I231" t="s">
        <v>19</v>
      </c>
      <c r="J231" t="s">
        <v>25</v>
      </c>
      <c r="K231" t="s">
        <v>13</v>
      </c>
    </row>
    <row r="232" spans="1:18" x14ac:dyDescent="0.3">
      <c r="A232">
        <v>231</v>
      </c>
      <c r="B232">
        <v>10594</v>
      </c>
      <c r="C232" s="1">
        <v>44900</v>
      </c>
      <c r="D232" t="s">
        <v>14</v>
      </c>
      <c r="E232">
        <v>4.99</v>
      </c>
      <c r="F232">
        <v>200.4</v>
      </c>
      <c r="G232" s="4">
        <f t="shared" si="3"/>
        <v>999.99600000000009</v>
      </c>
      <c r="H232" t="s">
        <v>9</v>
      </c>
      <c r="I232" t="s">
        <v>19</v>
      </c>
      <c r="J232" t="s">
        <v>30</v>
      </c>
      <c r="K232" t="s">
        <v>11</v>
      </c>
    </row>
    <row r="233" spans="1:18" x14ac:dyDescent="0.3">
      <c r="A233">
        <v>232</v>
      </c>
      <c r="B233">
        <v>10599</v>
      </c>
      <c r="C233" s="1">
        <v>44901</v>
      </c>
      <c r="D233" t="s">
        <v>14</v>
      </c>
      <c r="E233">
        <v>4.99</v>
      </c>
      <c r="F233">
        <v>200.4</v>
      </c>
      <c r="G233" s="4">
        <f t="shared" si="3"/>
        <v>999.99600000000009</v>
      </c>
      <c r="H233" t="s">
        <v>9</v>
      </c>
      <c r="I233" t="s">
        <v>19</v>
      </c>
      <c r="J233" t="s">
        <v>30</v>
      </c>
      <c r="K233" t="s">
        <v>11</v>
      </c>
    </row>
    <row r="234" spans="1:18" x14ac:dyDescent="0.3">
      <c r="A234">
        <v>233</v>
      </c>
      <c r="B234">
        <v>10604</v>
      </c>
      <c r="C234" s="1">
        <v>44902</v>
      </c>
      <c r="D234" t="s">
        <v>14</v>
      </c>
      <c r="E234">
        <v>4.99</v>
      </c>
      <c r="F234">
        <v>200.4</v>
      </c>
      <c r="G234" s="4">
        <f t="shared" si="3"/>
        <v>999.99600000000009</v>
      </c>
      <c r="H234" t="s">
        <v>9</v>
      </c>
      <c r="I234" t="s">
        <v>29</v>
      </c>
      <c r="J234" t="s">
        <v>30</v>
      </c>
      <c r="K234" t="s">
        <v>11</v>
      </c>
    </row>
    <row r="235" spans="1:18" x14ac:dyDescent="0.3">
      <c r="A235">
        <v>234</v>
      </c>
      <c r="B235">
        <v>10609</v>
      </c>
      <c r="C235" s="1">
        <v>44903</v>
      </c>
      <c r="D235" t="s">
        <v>14</v>
      </c>
      <c r="E235">
        <v>4.99</v>
      </c>
      <c r="F235">
        <v>200.4</v>
      </c>
      <c r="G235" s="4">
        <f t="shared" si="3"/>
        <v>999.99600000000009</v>
      </c>
      <c r="H235" t="s">
        <v>9</v>
      </c>
      <c r="I235" t="s">
        <v>10</v>
      </c>
      <c r="J235" t="s">
        <v>30</v>
      </c>
      <c r="K235" t="s">
        <v>11</v>
      </c>
    </row>
    <row r="236" spans="1:18" x14ac:dyDescent="0.3">
      <c r="A236">
        <v>235</v>
      </c>
      <c r="B236">
        <v>10614</v>
      </c>
      <c r="C236" s="1">
        <v>44904</v>
      </c>
      <c r="D236" t="s">
        <v>14</v>
      </c>
      <c r="E236">
        <v>4.99</v>
      </c>
      <c r="F236">
        <v>200.4</v>
      </c>
      <c r="G236" s="4">
        <f t="shared" si="3"/>
        <v>999.99600000000009</v>
      </c>
      <c r="H236" t="s">
        <v>9</v>
      </c>
      <c r="I236" t="s">
        <v>10</v>
      </c>
      <c r="J236" t="s">
        <v>30</v>
      </c>
      <c r="K236" t="s">
        <v>11</v>
      </c>
    </row>
    <row r="237" spans="1:18" x14ac:dyDescent="0.3">
      <c r="A237">
        <v>236</v>
      </c>
      <c r="B237">
        <v>10619</v>
      </c>
      <c r="C237" s="1">
        <v>44905</v>
      </c>
      <c r="D237" t="s">
        <v>14</v>
      </c>
      <c r="E237">
        <v>4.99</v>
      </c>
      <c r="F237">
        <v>200.4</v>
      </c>
      <c r="G237" s="4">
        <f t="shared" si="3"/>
        <v>999.99600000000009</v>
      </c>
      <c r="H237" t="s">
        <v>9</v>
      </c>
      <c r="I237" t="s">
        <v>10</v>
      </c>
      <c r="J237" t="s">
        <v>30</v>
      </c>
      <c r="K237" t="s">
        <v>11</v>
      </c>
    </row>
    <row r="238" spans="1:18" x14ac:dyDescent="0.3">
      <c r="A238">
        <v>237</v>
      </c>
      <c r="B238">
        <v>10624</v>
      </c>
      <c r="C238" s="1">
        <v>44906</v>
      </c>
      <c r="D238" t="s">
        <v>14</v>
      </c>
      <c r="E238">
        <v>4.99</v>
      </c>
      <c r="F238">
        <v>200.4</v>
      </c>
      <c r="G238" s="4">
        <f t="shared" si="3"/>
        <v>999.99600000000009</v>
      </c>
      <c r="H238" t="s">
        <v>9</v>
      </c>
      <c r="I238" t="s">
        <v>10</v>
      </c>
      <c r="J238" t="s">
        <v>30</v>
      </c>
      <c r="K238" t="s">
        <v>11</v>
      </c>
    </row>
    <row r="239" spans="1:18" ht="25.8" x14ac:dyDescent="0.5">
      <c r="A239">
        <v>238</v>
      </c>
      <c r="B239">
        <v>10629</v>
      </c>
      <c r="C239" s="1">
        <v>44907</v>
      </c>
      <c r="D239" t="s">
        <v>14</v>
      </c>
      <c r="E239">
        <v>4.99</v>
      </c>
      <c r="F239">
        <v>200.4</v>
      </c>
      <c r="G239" s="4">
        <f t="shared" si="3"/>
        <v>999.99600000000009</v>
      </c>
      <c r="H239" t="s">
        <v>9</v>
      </c>
      <c r="I239" t="s">
        <v>10</v>
      </c>
      <c r="J239" t="s">
        <v>27</v>
      </c>
      <c r="K239" t="s">
        <v>17</v>
      </c>
      <c r="M239" s="10" t="s">
        <v>45</v>
      </c>
      <c r="N239" s="11" t="s">
        <v>47</v>
      </c>
      <c r="O239" s="12" t="s">
        <v>48</v>
      </c>
      <c r="P239" s="14" t="s">
        <v>46</v>
      </c>
      <c r="Q239" s="9"/>
      <c r="R239" s="9"/>
    </row>
    <row r="240" spans="1:18" ht="14.4" customHeight="1" thickBot="1" x14ac:dyDescent="0.35">
      <c r="A240">
        <v>239</v>
      </c>
      <c r="B240">
        <v>10634</v>
      </c>
      <c r="C240" s="1">
        <v>44908</v>
      </c>
      <c r="D240" t="s">
        <v>14</v>
      </c>
      <c r="E240">
        <v>4.99</v>
      </c>
      <c r="F240">
        <v>200.4</v>
      </c>
      <c r="G240" s="4">
        <f t="shared" si="3"/>
        <v>999.99600000000009</v>
      </c>
      <c r="H240" t="s">
        <v>9</v>
      </c>
      <c r="I240" t="s">
        <v>10</v>
      </c>
      <c r="J240" t="s">
        <v>27</v>
      </c>
      <c r="K240" t="s">
        <v>17</v>
      </c>
      <c r="M240" s="2"/>
      <c r="N240" s="8"/>
      <c r="O240" s="8"/>
    </row>
    <row r="241" spans="1:16" ht="14.4" customHeight="1" thickBot="1" x14ac:dyDescent="0.35">
      <c r="A241">
        <v>240</v>
      </c>
      <c r="B241">
        <v>10639</v>
      </c>
      <c r="C241" s="1">
        <v>44909</v>
      </c>
      <c r="D241" t="s">
        <v>14</v>
      </c>
      <c r="E241">
        <v>4.99</v>
      </c>
      <c r="F241">
        <v>200.4</v>
      </c>
      <c r="G241" s="4">
        <f t="shared" si="3"/>
        <v>999.99600000000009</v>
      </c>
      <c r="H241" t="s">
        <v>9</v>
      </c>
      <c r="I241" t="s">
        <v>10</v>
      </c>
      <c r="J241" t="s">
        <v>27</v>
      </c>
      <c r="K241" t="s">
        <v>17</v>
      </c>
      <c r="M241" s="16">
        <f>N256</f>
        <v>769515.85920000204</v>
      </c>
      <c r="N241" s="15">
        <f>N257</f>
        <v>3029.5899968504018</v>
      </c>
      <c r="O241" s="17">
        <f>N258</f>
        <v>16074.434999999999</v>
      </c>
      <c r="P241" s="13">
        <f>N259</f>
        <v>999.99600000000009</v>
      </c>
    </row>
    <row r="242" spans="1:16" ht="14.4" customHeight="1" x14ac:dyDescent="0.3">
      <c r="A242">
        <v>241</v>
      </c>
      <c r="B242">
        <v>10644</v>
      </c>
      <c r="C242" s="1">
        <v>44910</v>
      </c>
      <c r="D242" t="s">
        <v>14</v>
      </c>
      <c r="E242">
        <v>4.99</v>
      </c>
      <c r="F242">
        <v>200.4</v>
      </c>
      <c r="G242" s="4">
        <f t="shared" si="3"/>
        <v>999.99600000000009</v>
      </c>
      <c r="H242" t="s">
        <v>9</v>
      </c>
      <c r="I242" t="s">
        <v>29</v>
      </c>
      <c r="J242" t="s">
        <v>27</v>
      </c>
      <c r="K242" t="s">
        <v>17</v>
      </c>
    </row>
    <row r="243" spans="1:16" x14ac:dyDescent="0.3">
      <c r="A243">
        <v>242</v>
      </c>
      <c r="B243">
        <v>10649</v>
      </c>
      <c r="C243" s="1">
        <v>44911</v>
      </c>
      <c r="D243" t="s">
        <v>14</v>
      </c>
      <c r="E243">
        <v>4.99</v>
      </c>
      <c r="F243">
        <v>200.4</v>
      </c>
      <c r="G243" s="4">
        <f t="shared" si="3"/>
        <v>999.99600000000009</v>
      </c>
      <c r="H243" t="s">
        <v>9</v>
      </c>
      <c r="I243" t="s">
        <v>10</v>
      </c>
      <c r="J243" t="s">
        <v>27</v>
      </c>
      <c r="K243" t="s">
        <v>17</v>
      </c>
    </row>
    <row r="244" spans="1:16" x14ac:dyDescent="0.3">
      <c r="A244">
        <v>243</v>
      </c>
      <c r="B244">
        <v>10654</v>
      </c>
      <c r="C244" s="1">
        <v>44912</v>
      </c>
      <c r="D244" t="s">
        <v>14</v>
      </c>
      <c r="E244">
        <v>4.99</v>
      </c>
      <c r="F244">
        <v>200.4</v>
      </c>
      <c r="G244" s="4">
        <f t="shared" si="3"/>
        <v>999.99600000000009</v>
      </c>
      <c r="H244" t="s">
        <v>9</v>
      </c>
      <c r="I244" t="s">
        <v>10</v>
      </c>
      <c r="J244" t="s">
        <v>27</v>
      </c>
      <c r="K244" t="s">
        <v>17</v>
      </c>
    </row>
    <row r="245" spans="1:16" x14ac:dyDescent="0.3">
      <c r="A245">
        <v>244</v>
      </c>
      <c r="B245">
        <v>10659</v>
      </c>
      <c r="C245" s="1">
        <v>44913</v>
      </c>
      <c r="D245" t="s">
        <v>14</v>
      </c>
      <c r="E245">
        <v>4.99</v>
      </c>
      <c r="F245">
        <v>200.4</v>
      </c>
      <c r="G245" s="4">
        <f t="shared" si="3"/>
        <v>999.99600000000009</v>
      </c>
      <c r="H245" t="s">
        <v>9</v>
      </c>
      <c r="I245" t="s">
        <v>29</v>
      </c>
      <c r="J245" t="s">
        <v>27</v>
      </c>
      <c r="K245" t="s">
        <v>17</v>
      </c>
    </row>
    <row r="246" spans="1:16" x14ac:dyDescent="0.3">
      <c r="A246">
        <v>245</v>
      </c>
      <c r="B246">
        <v>10664</v>
      </c>
      <c r="C246" s="1">
        <v>44914</v>
      </c>
      <c r="D246" t="s">
        <v>14</v>
      </c>
      <c r="E246">
        <v>4.99</v>
      </c>
      <c r="F246">
        <v>200.4</v>
      </c>
      <c r="G246" s="4">
        <f t="shared" si="3"/>
        <v>999.99600000000009</v>
      </c>
      <c r="H246" t="s">
        <v>15</v>
      </c>
      <c r="I246" t="s">
        <v>29</v>
      </c>
      <c r="J246" t="s">
        <v>27</v>
      </c>
      <c r="K246" t="s">
        <v>17</v>
      </c>
    </row>
    <row r="247" spans="1:16" x14ac:dyDescent="0.3">
      <c r="A247">
        <v>246</v>
      </c>
      <c r="B247">
        <v>10669</v>
      </c>
      <c r="C247" s="1">
        <v>44915</v>
      </c>
      <c r="D247" t="s">
        <v>14</v>
      </c>
      <c r="E247">
        <v>4.99</v>
      </c>
      <c r="F247">
        <v>200.4</v>
      </c>
      <c r="G247" s="4">
        <f t="shared" si="3"/>
        <v>999.99600000000009</v>
      </c>
      <c r="H247" t="s">
        <v>15</v>
      </c>
      <c r="I247" t="s">
        <v>29</v>
      </c>
      <c r="J247" t="s">
        <v>27</v>
      </c>
      <c r="K247" t="s">
        <v>17</v>
      </c>
    </row>
    <row r="248" spans="1:16" x14ac:dyDescent="0.3">
      <c r="A248">
        <v>247</v>
      </c>
      <c r="B248">
        <v>10674</v>
      </c>
      <c r="C248" s="1">
        <v>44916</v>
      </c>
      <c r="D248" t="s">
        <v>14</v>
      </c>
      <c r="E248">
        <v>4.99</v>
      </c>
      <c r="F248">
        <v>200.4</v>
      </c>
      <c r="G248" s="4">
        <f t="shared" si="3"/>
        <v>999.99600000000009</v>
      </c>
      <c r="H248" t="s">
        <v>15</v>
      </c>
      <c r="I248" t="s">
        <v>29</v>
      </c>
      <c r="J248" t="s">
        <v>27</v>
      </c>
      <c r="K248" t="s">
        <v>17</v>
      </c>
    </row>
    <row r="249" spans="1:16" x14ac:dyDescent="0.3">
      <c r="A249">
        <v>248</v>
      </c>
      <c r="B249">
        <v>10679</v>
      </c>
      <c r="C249" s="1">
        <v>44917</v>
      </c>
      <c r="D249" t="s">
        <v>14</v>
      </c>
      <c r="E249">
        <v>4.99</v>
      </c>
      <c r="F249">
        <v>200.4</v>
      </c>
      <c r="G249" s="4">
        <f t="shared" si="3"/>
        <v>999.99600000000009</v>
      </c>
      <c r="H249" t="s">
        <v>15</v>
      </c>
      <c r="I249" t="s">
        <v>29</v>
      </c>
      <c r="J249" t="s">
        <v>27</v>
      </c>
      <c r="K249" t="s">
        <v>17</v>
      </c>
    </row>
    <row r="250" spans="1:16" x14ac:dyDescent="0.3">
      <c r="A250">
        <v>249</v>
      </c>
      <c r="B250">
        <v>10684</v>
      </c>
      <c r="C250" s="1">
        <v>44918</v>
      </c>
      <c r="D250" t="s">
        <v>14</v>
      </c>
      <c r="E250">
        <v>4.99</v>
      </c>
      <c r="F250">
        <v>200.4</v>
      </c>
      <c r="G250" s="4">
        <f t="shared" si="3"/>
        <v>999.99600000000009</v>
      </c>
      <c r="H250" t="s">
        <v>15</v>
      </c>
      <c r="I250" t="s">
        <v>29</v>
      </c>
      <c r="J250" t="s">
        <v>27</v>
      </c>
      <c r="K250" t="s">
        <v>17</v>
      </c>
    </row>
    <row r="251" spans="1:16" x14ac:dyDescent="0.3">
      <c r="A251">
        <v>250</v>
      </c>
      <c r="B251">
        <v>10689</v>
      </c>
      <c r="C251" s="1">
        <v>44919</v>
      </c>
      <c r="D251" t="s">
        <v>14</v>
      </c>
      <c r="E251">
        <v>4.99</v>
      </c>
      <c r="F251">
        <v>200.4</v>
      </c>
      <c r="G251" s="4">
        <f t="shared" si="3"/>
        <v>999.99600000000009</v>
      </c>
      <c r="H251" t="s">
        <v>15</v>
      </c>
      <c r="I251" t="s">
        <v>29</v>
      </c>
      <c r="J251" t="s">
        <v>20</v>
      </c>
      <c r="K251" t="s">
        <v>21</v>
      </c>
    </row>
    <row r="252" spans="1:16" x14ac:dyDescent="0.3">
      <c r="A252">
        <v>251</v>
      </c>
      <c r="B252">
        <v>10694</v>
      </c>
      <c r="C252" s="1">
        <v>44920</v>
      </c>
      <c r="D252" t="s">
        <v>14</v>
      </c>
      <c r="E252">
        <v>4.99</v>
      </c>
      <c r="F252">
        <v>200.4</v>
      </c>
      <c r="G252" s="4">
        <f t="shared" si="3"/>
        <v>999.99600000000009</v>
      </c>
      <c r="H252" t="s">
        <v>15</v>
      </c>
      <c r="I252" t="s">
        <v>29</v>
      </c>
      <c r="J252" t="s">
        <v>20</v>
      </c>
      <c r="K252" t="s">
        <v>21</v>
      </c>
    </row>
    <row r="253" spans="1:16" x14ac:dyDescent="0.3">
      <c r="A253">
        <v>252</v>
      </c>
      <c r="B253">
        <v>10699</v>
      </c>
      <c r="C253" s="1">
        <v>44921</v>
      </c>
      <c r="D253" t="s">
        <v>14</v>
      </c>
      <c r="E253">
        <v>4.99</v>
      </c>
      <c r="F253">
        <v>200.4</v>
      </c>
      <c r="G253" s="4">
        <f t="shared" si="3"/>
        <v>999.99600000000009</v>
      </c>
      <c r="H253" t="s">
        <v>15</v>
      </c>
      <c r="I253" t="s">
        <v>29</v>
      </c>
      <c r="J253" t="s">
        <v>20</v>
      </c>
      <c r="K253" t="s">
        <v>21</v>
      </c>
    </row>
    <row r="254" spans="1:16" x14ac:dyDescent="0.3">
      <c r="A254">
        <v>253</v>
      </c>
      <c r="B254">
        <v>10704</v>
      </c>
      <c r="C254" s="1">
        <v>44922</v>
      </c>
      <c r="D254" t="s">
        <v>14</v>
      </c>
      <c r="E254">
        <v>4.99</v>
      </c>
      <c r="F254">
        <v>200.4</v>
      </c>
      <c r="G254" s="4">
        <f t="shared" si="3"/>
        <v>999.99600000000009</v>
      </c>
      <c r="H254" t="s">
        <v>28</v>
      </c>
      <c r="I254" t="s">
        <v>10</v>
      </c>
      <c r="J254" t="s">
        <v>20</v>
      </c>
      <c r="K254" t="s">
        <v>21</v>
      </c>
    </row>
    <row r="255" spans="1:16" x14ac:dyDescent="0.3">
      <c r="A255">
        <v>254</v>
      </c>
      <c r="B255">
        <v>10709</v>
      </c>
      <c r="C255" s="1">
        <v>44923</v>
      </c>
      <c r="D255" t="s">
        <v>14</v>
      </c>
      <c r="E255">
        <v>4.99</v>
      </c>
      <c r="F255">
        <v>200.4</v>
      </c>
      <c r="G255" s="4">
        <f t="shared" si="3"/>
        <v>999.99600000000009</v>
      </c>
      <c r="H255" t="s">
        <v>28</v>
      </c>
      <c r="I255" t="s">
        <v>10</v>
      </c>
      <c r="J255" t="s">
        <v>20</v>
      </c>
      <c r="K255" t="s">
        <v>21</v>
      </c>
    </row>
    <row r="256" spans="1:16" x14ac:dyDescent="0.3">
      <c r="E256" s="2"/>
      <c r="F256" s="2"/>
      <c r="K256" t="s">
        <v>61</v>
      </c>
      <c r="M256" s="2" t="s">
        <v>33</v>
      </c>
      <c r="N256" s="5">
        <f>SUM(G2:G255)</f>
        <v>769515.85920000204</v>
      </c>
    </row>
    <row r="257" spans="11:14" x14ac:dyDescent="0.3">
      <c r="K257" t="s">
        <v>61</v>
      </c>
      <c r="M257" s="2" t="s">
        <v>36</v>
      </c>
      <c r="N257" s="5">
        <f>AVERAGE(G2:G255)</f>
        <v>3029.5899968504018</v>
      </c>
    </row>
    <row r="258" spans="11:14" x14ac:dyDescent="0.3">
      <c r="K258" t="s">
        <v>61</v>
      </c>
      <c r="M258" s="2" t="s">
        <v>34</v>
      </c>
      <c r="N258" s="5">
        <f>MAX(G2:G255)</f>
        <v>16074.434999999999</v>
      </c>
    </row>
    <row r="259" spans="11:14" x14ac:dyDescent="0.3">
      <c r="K259" t="s">
        <v>61</v>
      </c>
      <c r="M259" s="2" t="s">
        <v>35</v>
      </c>
      <c r="N259" s="5">
        <f>MIN(G2:G255)</f>
        <v>999.99600000000009</v>
      </c>
    </row>
    <row r="260" spans="11:14" x14ac:dyDescent="0.3">
      <c r="K260" t="s">
        <v>61</v>
      </c>
      <c r="M260" s="2" t="s">
        <v>41</v>
      </c>
      <c r="N260" s="7">
        <f>SUMIFS(G2:G255, K2:K255, "London")</f>
        <v>211201.04059999998</v>
      </c>
    </row>
    <row r="261" spans="11:14" x14ac:dyDescent="0.3">
      <c r="K261" t="s">
        <v>61</v>
      </c>
      <c r="M261" s="2" t="s">
        <v>42</v>
      </c>
      <c r="N261" s="5">
        <f>AVERAGEIF(D2:D255, "Burgers",E2:E255)</f>
        <v>12.990000000000007</v>
      </c>
    </row>
    <row r="262" spans="11:14" x14ac:dyDescent="0.3">
      <c r="K262" t="s">
        <v>61</v>
      </c>
      <c r="M262" s="2"/>
      <c r="N262" s="5"/>
    </row>
    <row r="263" spans="11:14" x14ac:dyDescent="0.3">
      <c r="K263" t="s">
        <v>61</v>
      </c>
      <c r="M263" s="2"/>
      <c r="N263" s="5"/>
    </row>
    <row r="264" spans="11:14" x14ac:dyDescent="0.3">
      <c r="K264" t="s">
        <v>61</v>
      </c>
      <c r="M264" s="2"/>
      <c r="N264" s="5"/>
    </row>
    <row r="265" spans="11:14" x14ac:dyDescent="0.3">
      <c r="K265" t="s">
        <v>61</v>
      </c>
      <c r="M265" s="2" t="s">
        <v>37</v>
      </c>
      <c r="N265">
        <f>AVERAGE(F2:F255)</f>
        <v>460.61145669291216</v>
      </c>
    </row>
    <row r="266" spans="11:14" x14ac:dyDescent="0.3">
      <c r="K266" t="s">
        <v>61</v>
      </c>
      <c r="M266" s="2" t="s">
        <v>38</v>
      </c>
      <c r="N266">
        <f>COUNTA(B2:B255)</f>
        <v>254</v>
      </c>
    </row>
    <row r="267" spans="11:14" x14ac:dyDescent="0.3">
      <c r="K267" t="s">
        <v>61</v>
      </c>
      <c r="M267" s="2"/>
    </row>
    <row r="268" spans="11:14" x14ac:dyDescent="0.3">
      <c r="K268" t="s">
        <v>61</v>
      </c>
      <c r="M268" s="2" t="s">
        <v>44</v>
      </c>
      <c r="N268">
        <f>COUNTIF(I2:I255," Credit Card" )</f>
        <v>120</v>
      </c>
    </row>
    <row r="269" spans="11:14" x14ac:dyDescent="0.3">
      <c r="K269" t="s">
        <v>61</v>
      </c>
      <c r="M269" s="2" t="s">
        <v>39</v>
      </c>
      <c r="N269">
        <f>COUNTIF(I2:I255," Cash" )</f>
        <v>76</v>
      </c>
    </row>
    <row r="270" spans="11:14" x14ac:dyDescent="0.3">
      <c r="K270" t="s">
        <v>61</v>
      </c>
      <c r="M270" s="2" t="s">
        <v>43</v>
      </c>
      <c r="N270">
        <f>COUNTIF(I2:I255," Gift Card" )</f>
        <v>58</v>
      </c>
    </row>
    <row r="271" spans="11:14" x14ac:dyDescent="0.3">
      <c r="K271" t="s">
        <v>61</v>
      </c>
      <c r="M271" s="2" t="s">
        <v>40</v>
      </c>
      <c r="N271" s="6">
        <f>N269/N266</f>
        <v>0.29921259842519687</v>
      </c>
    </row>
    <row r="272" spans="11:14" x14ac:dyDescent="0.3">
      <c r="K272" t="s">
        <v>61</v>
      </c>
      <c r="M272" s="2" t="s">
        <v>7</v>
      </c>
      <c r="N272" s="2" t="s">
        <v>49</v>
      </c>
    </row>
    <row r="273" spans="11:14" x14ac:dyDescent="0.3">
      <c r="K273" t="s">
        <v>61</v>
      </c>
      <c r="M273" s="2" t="s">
        <v>11</v>
      </c>
      <c r="N273">
        <f>SUMIF(K2:K255,M273,G2:G255)</f>
        <v>211201.04059999998</v>
      </c>
    </row>
    <row r="274" spans="11:14" x14ac:dyDescent="0.3">
      <c r="K274" t="s">
        <v>61</v>
      </c>
      <c r="M274" s="2" t="s">
        <v>23</v>
      </c>
      <c r="N274">
        <f>SUMIF(K3:K255,M274,G3:G255)</f>
        <v>79800.305099999969</v>
      </c>
    </row>
    <row r="275" spans="11:14" x14ac:dyDescent="0.3">
      <c r="K275" t="s">
        <v>61</v>
      </c>
      <c r="M275" s="2" t="s">
        <v>13</v>
      </c>
      <c r="N275">
        <f>SUMIF(K4:K256,M275,G4:G256)</f>
        <v>136200.26649999994</v>
      </c>
    </row>
    <row r="276" spans="11:14" x14ac:dyDescent="0.3">
      <c r="K276" t="s">
        <v>61</v>
      </c>
      <c r="M276" s="2" t="s">
        <v>21</v>
      </c>
      <c r="N276">
        <f>SUMIF(K5:K257,M276,G5:G257)</f>
        <v>81400.131899999964</v>
      </c>
    </row>
  </sheetData>
  <sortState xmlns:xlrd2="http://schemas.microsoft.com/office/spreadsheetml/2017/richdata2" ref="A2:K255">
    <sortCondition descending="1" ref="G2:G255"/>
  </sortState>
  <phoneticPr fontId="18" type="noConversion"/>
  <conditionalFormatting sqref="A2:K255">
    <cfRule type="expression" dxfId="8" priority="11">
      <formula>TRIM(LOWER($I2))="Cash"</formula>
    </cfRule>
    <cfRule type="expression" dxfId="7" priority="12" stopIfTrue="1">
      <formula>$I2="Cash"</formula>
    </cfRule>
    <cfRule type="expression" dxfId="6" priority="13">
      <formula>$I2="Cash"</formula>
    </cfRule>
  </conditionalFormatting>
  <conditionalFormatting sqref="F1:F1048576">
    <cfRule type="colorScale" priority="4">
      <colorScale>
        <cfvo type="num" val="150"/>
        <cfvo type="num" val="750"/>
        <color rgb="FFFF7128"/>
        <color rgb="FFFFEF9C"/>
      </colorScale>
    </cfRule>
    <cfRule type="colorScale" priority="5">
      <colorScale>
        <cfvo type="min"/>
        <cfvo type="percentile" val="50"/>
        <cfvo type="max"/>
        <color rgb="FFF8696B"/>
        <color rgb="FFFFEB84"/>
        <color rgb="FF63BE7B"/>
      </colorScale>
    </cfRule>
  </conditionalFormatting>
  <conditionalFormatting sqref="G1:G1048576">
    <cfRule type="dataBar" priority="6">
      <dataBar>
        <cfvo type="num" val="7000"/>
        <cfvo type="num" val="16000"/>
        <color rgb="FF638EC6"/>
      </dataBar>
      <extLst>
        <ext xmlns:x14="http://schemas.microsoft.com/office/spreadsheetml/2009/9/main" uri="{B025F937-C7B1-47D3-B67F-A62EFF666E3E}">
          <x14:id>{1D3C5141-75DF-4D9A-AE62-1288C75FD5B0}</x14:id>
        </ext>
      </extLst>
    </cfRule>
    <cfRule type="aboveAverage" dxfId="5" priority="8"/>
  </conditionalFormatting>
  <conditionalFormatting sqref="G2:G254">
    <cfRule type="expression" dxfId="4" priority="10">
      <formula>RANK(G3,$G$2:$G$255)&lt;=10</formula>
    </cfRule>
  </conditionalFormatting>
  <conditionalFormatting sqref="G255">
    <cfRule type="expression" dxfId="3" priority="30">
      <formula>RANK(#REF!,$G$2:$G$255)&lt;=10</formula>
    </cfRule>
  </conditionalFormatting>
  <conditionalFormatting sqref="M268">
    <cfRule type="expression" dxfId="2" priority="1">
      <formula>TRIM(LOWER($I268))="Cash"</formula>
    </cfRule>
    <cfRule type="expression" dxfId="1" priority="2" stopIfTrue="1">
      <formula>$I268="Cash"</formula>
    </cfRule>
    <cfRule type="expression" dxfId="0" priority="3">
      <formula>$I268="Cash"</formula>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1D3C5141-75DF-4D9A-AE62-1288C75FD5B0}">
            <x14:dataBar minLength="0" maxLength="100" gradient="0">
              <x14:cfvo type="num">
                <xm:f>7000</xm:f>
              </x14:cfvo>
              <x14:cfvo type="num">
                <xm:f>16000</xm:f>
              </x14:cfvo>
              <x14:negativeFillColor rgb="FFFF0000"/>
              <x14:axisColor rgb="FF000000"/>
            </x14:dataBar>
          </x14:cfRule>
          <xm:sqref>G1:G1048576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993A5-250F-4C4F-B9A8-C46E2747D3CE}">
  <dimension ref="A1:C56"/>
  <sheetViews>
    <sheetView workbookViewId="0">
      <selection activeCell="D24" sqref="D24"/>
    </sheetView>
  </sheetViews>
  <sheetFormatPr defaultRowHeight="14.4" x14ac:dyDescent="0.3"/>
  <cols>
    <col min="1" max="1" width="17.5546875" bestFit="1" customWidth="1"/>
    <col min="2" max="2" width="15.77734375" bestFit="1" customWidth="1"/>
    <col min="3" max="3" width="20.6640625" bestFit="1" customWidth="1"/>
    <col min="4" max="4" width="18.21875" bestFit="1" customWidth="1"/>
    <col min="5" max="5" width="9" bestFit="1" customWidth="1"/>
    <col min="6" max="6" width="12.44140625" bestFit="1" customWidth="1"/>
    <col min="7" max="7" width="10" bestFit="1" customWidth="1"/>
    <col min="8" max="8" width="10.77734375" bestFit="1" customWidth="1"/>
  </cols>
  <sheetData>
    <row r="1" spans="1:3" x14ac:dyDescent="0.3">
      <c r="A1" s="18" t="s">
        <v>6</v>
      </c>
      <c r="B1" t="s">
        <v>52</v>
      </c>
    </row>
    <row r="3" spans="1:3" x14ac:dyDescent="0.3">
      <c r="A3" s="18" t="s">
        <v>58</v>
      </c>
      <c r="B3" t="s">
        <v>37</v>
      </c>
      <c r="C3" t="s">
        <v>55</v>
      </c>
    </row>
    <row r="4" spans="1:3" x14ac:dyDescent="0.3">
      <c r="A4" s="20">
        <v>44873</v>
      </c>
      <c r="B4">
        <v>569.66999999999996</v>
      </c>
      <c r="C4">
        <v>1</v>
      </c>
    </row>
    <row r="5" spans="1:3" x14ac:dyDescent="0.3">
      <c r="A5" s="20">
        <v>44874</v>
      </c>
      <c r="B5">
        <v>554.27</v>
      </c>
      <c r="C5">
        <v>1</v>
      </c>
    </row>
    <row r="6" spans="1:3" x14ac:dyDescent="0.3">
      <c r="A6" s="20">
        <v>44875</v>
      </c>
      <c r="B6">
        <v>554.27</v>
      </c>
      <c r="C6">
        <v>1</v>
      </c>
    </row>
    <row r="7" spans="1:3" x14ac:dyDescent="0.3">
      <c r="A7" s="20">
        <v>44876</v>
      </c>
      <c r="B7">
        <v>554.27</v>
      </c>
      <c r="C7">
        <v>1</v>
      </c>
    </row>
    <row r="8" spans="1:3" x14ac:dyDescent="0.3">
      <c r="A8" s="20">
        <v>44877</v>
      </c>
      <c r="B8">
        <v>523.48</v>
      </c>
      <c r="C8">
        <v>1</v>
      </c>
    </row>
    <row r="9" spans="1:3" x14ac:dyDescent="0.3">
      <c r="A9" s="20">
        <v>44878</v>
      </c>
      <c r="B9">
        <v>508.08</v>
      </c>
      <c r="C9">
        <v>1</v>
      </c>
    </row>
    <row r="10" spans="1:3" x14ac:dyDescent="0.3">
      <c r="A10" s="20">
        <v>44879</v>
      </c>
      <c r="B10">
        <v>523.48</v>
      </c>
      <c r="C10">
        <v>1</v>
      </c>
    </row>
    <row r="11" spans="1:3" x14ac:dyDescent="0.3">
      <c r="A11" s="20">
        <v>44880</v>
      </c>
      <c r="B11">
        <v>508.08</v>
      </c>
      <c r="C11">
        <v>1</v>
      </c>
    </row>
    <row r="12" spans="1:3" x14ac:dyDescent="0.3">
      <c r="A12" s="20">
        <v>44881</v>
      </c>
      <c r="B12">
        <v>508.08</v>
      </c>
      <c r="C12">
        <v>1</v>
      </c>
    </row>
    <row r="13" spans="1:3" x14ac:dyDescent="0.3">
      <c r="A13" s="20">
        <v>44882</v>
      </c>
      <c r="B13">
        <v>523.48</v>
      </c>
      <c r="C13">
        <v>1</v>
      </c>
    </row>
    <row r="14" spans="1:3" x14ac:dyDescent="0.3">
      <c r="A14" s="20">
        <v>44883</v>
      </c>
      <c r="B14">
        <v>538.88</v>
      </c>
      <c r="C14">
        <v>1</v>
      </c>
    </row>
    <row r="15" spans="1:3" x14ac:dyDescent="0.3">
      <c r="A15" s="20">
        <v>44884</v>
      </c>
      <c r="B15">
        <v>508.08</v>
      </c>
      <c r="C15">
        <v>1</v>
      </c>
    </row>
    <row r="16" spans="1:3" x14ac:dyDescent="0.3">
      <c r="A16" s="20">
        <v>44885</v>
      </c>
      <c r="B16">
        <v>477.29</v>
      </c>
      <c r="C16">
        <v>1</v>
      </c>
    </row>
    <row r="17" spans="1:3" x14ac:dyDescent="0.3">
      <c r="A17" s="20">
        <v>44886</v>
      </c>
      <c r="B17">
        <v>492.69</v>
      </c>
      <c r="C17">
        <v>1</v>
      </c>
    </row>
    <row r="18" spans="1:3" x14ac:dyDescent="0.3">
      <c r="A18" s="20">
        <v>44887</v>
      </c>
      <c r="B18">
        <v>461.89</v>
      </c>
      <c r="C18">
        <v>1</v>
      </c>
    </row>
    <row r="19" spans="1:3" x14ac:dyDescent="0.3">
      <c r="A19" s="20">
        <v>44888</v>
      </c>
      <c r="B19">
        <v>477.29</v>
      </c>
      <c r="C19">
        <v>1</v>
      </c>
    </row>
    <row r="20" spans="1:3" x14ac:dyDescent="0.3">
      <c r="A20" s="20">
        <v>44889</v>
      </c>
      <c r="B20">
        <v>477.29</v>
      </c>
      <c r="C20">
        <v>1</v>
      </c>
    </row>
    <row r="21" spans="1:3" x14ac:dyDescent="0.3">
      <c r="A21" s="20">
        <v>44890</v>
      </c>
      <c r="B21">
        <v>461.89</v>
      </c>
      <c r="C21">
        <v>1</v>
      </c>
    </row>
    <row r="22" spans="1:3" x14ac:dyDescent="0.3">
      <c r="A22" s="20">
        <v>44891</v>
      </c>
      <c r="B22">
        <v>446.5</v>
      </c>
      <c r="C22">
        <v>1</v>
      </c>
    </row>
    <row r="23" spans="1:3" x14ac:dyDescent="0.3">
      <c r="A23" s="20">
        <v>44892</v>
      </c>
      <c r="B23">
        <v>461.89</v>
      </c>
      <c r="C23">
        <v>1</v>
      </c>
    </row>
    <row r="24" spans="1:3" x14ac:dyDescent="0.3">
      <c r="A24" s="20">
        <v>44893</v>
      </c>
      <c r="B24">
        <v>477.29</v>
      </c>
      <c r="C24">
        <v>1</v>
      </c>
    </row>
    <row r="25" spans="1:3" x14ac:dyDescent="0.3">
      <c r="A25" s="20">
        <v>44894</v>
      </c>
      <c r="B25">
        <v>477.29</v>
      </c>
      <c r="C25">
        <v>1</v>
      </c>
    </row>
    <row r="26" spans="1:3" x14ac:dyDescent="0.3">
      <c r="A26" s="20">
        <v>44895</v>
      </c>
      <c r="B26">
        <v>492.69</v>
      </c>
      <c r="C26">
        <v>1</v>
      </c>
    </row>
    <row r="27" spans="1:3" x14ac:dyDescent="0.3">
      <c r="A27" s="20">
        <v>44896</v>
      </c>
      <c r="B27">
        <v>492.69</v>
      </c>
      <c r="C27">
        <v>1</v>
      </c>
    </row>
    <row r="28" spans="1:3" x14ac:dyDescent="0.3">
      <c r="A28" s="20">
        <v>44897</v>
      </c>
      <c r="B28">
        <v>523.48</v>
      </c>
      <c r="C28">
        <v>1</v>
      </c>
    </row>
    <row r="29" spans="1:3" x14ac:dyDescent="0.3">
      <c r="A29" s="20">
        <v>44898</v>
      </c>
      <c r="B29">
        <v>523.48</v>
      </c>
      <c r="C29">
        <v>1</v>
      </c>
    </row>
    <row r="30" spans="1:3" x14ac:dyDescent="0.3">
      <c r="A30" s="20">
        <v>44899</v>
      </c>
      <c r="B30">
        <v>538.88</v>
      </c>
      <c r="C30">
        <v>1</v>
      </c>
    </row>
    <row r="31" spans="1:3" x14ac:dyDescent="0.3">
      <c r="A31" s="20">
        <v>44900</v>
      </c>
      <c r="B31">
        <v>554.27</v>
      </c>
      <c r="C31">
        <v>1</v>
      </c>
    </row>
    <row r="32" spans="1:3" x14ac:dyDescent="0.3">
      <c r="A32" s="20">
        <v>44901</v>
      </c>
      <c r="B32">
        <v>538.88</v>
      </c>
      <c r="C32">
        <v>1</v>
      </c>
    </row>
    <row r="33" spans="1:3" x14ac:dyDescent="0.3">
      <c r="A33" s="20">
        <v>44902</v>
      </c>
      <c r="B33">
        <v>523.48</v>
      </c>
      <c r="C33">
        <v>1</v>
      </c>
    </row>
    <row r="34" spans="1:3" x14ac:dyDescent="0.3">
      <c r="A34" s="20">
        <v>44903</v>
      </c>
      <c r="B34">
        <v>538.88</v>
      </c>
      <c r="C34">
        <v>1</v>
      </c>
    </row>
    <row r="35" spans="1:3" x14ac:dyDescent="0.3">
      <c r="A35" s="20">
        <v>44904</v>
      </c>
      <c r="B35">
        <v>569.66999999999996</v>
      </c>
      <c r="C35">
        <v>1</v>
      </c>
    </row>
    <row r="36" spans="1:3" x14ac:dyDescent="0.3">
      <c r="A36" s="20">
        <v>44905</v>
      </c>
      <c r="B36">
        <v>569.66999999999996</v>
      </c>
      <c r="C36">
        <v>1</v>
      </c>
    </row>
    <row r="37" spans="1:3" x14ac:dyDescent="0.3">
      <c r="A37" s="20">
        <v>44906</v>
      </c>
      <c r="B37">
        <v>585.07000000000005</v>
      </c>
      <c r="C37">
        <v>1</v>
      </c>
    </row>
    <row r="38" spans="1:3" x14ac:dyDescent="0.3">
      <c r="A38" s="20">
        <v>44907</v>
      </c>
      <c r="B38">
        <v>569.66999999999996</v>
      </c>
      <c r="C38">
        <v>1</v>
      </c>
    </row>
    <row r="39" spans="1:3" x14ac:dyDescent="0.3">
      <c r="A39" s="20">
        <v>44908</v>
      </c>
      <c r="B39">
        <v>569.66999999999996</v>
      </c>
      <c r="C39">
        <v>1</v>
      </c>
    </row>
    <row r="40" spans="1:3" x14ac:dyDescent="0.3">
      <c r="A40" s="20">
        <v>44909</v>
      </c>
      <c r="B40">
        <v>554.27</v>
      </c>
      <c r="C40">
        <v>1</v>
      </c>
    </row>
    <row r="41" spans="1:3" x14ac:dyDescent="0.3">
      <c r="A41" s="20">
        <v>44910</v>
      </c>
      <c r="B41">
        <v>538.88</v>
      </c>
      <c r="C41">
        <v>1</v>
      </c>
    </row>
    <row r="42" spans="1:3" x14ac:dyDescent="0.3">
      <c r="A42" s="20">
        <v>44911</v>
      </c>
      <c r="B42">
        <v>569.66999999999996</v>
      </c>
      <c r="C42">
        <v>1</v>
      </c>
    </row>
    <row r="43" spans="1:3" x14ac:dyDescent="0.3">
      <c r="A43" s="20">
        <v>44912</v>
      </c>
      <c r="B43">
        <v>585.07000000000005</v>
      </c>
      <c r="C43">
        <v>1</v>
      </c>
    </row>
    <row r="44" spans="1:3" x14ac:dyDescent="0.3">
      <c r="A44" s="20">
        <v>44913</v>
      </c>
      <c r="B44">
        <v>600.46</v>
      </c>
      <c r="C44">
        <v>1</v>
      </c>
    </row>
    <row r="45" spans="1:3" x14ac:dyDescent="0.3">
      <c r="A45" s="20">
        <v>44914</v>
      </c>
      <c r="B45">
        <v>631.25</v>
      </c>
      <c r="C45">
        <v>1</v>
      </c>
    </row>
    <row r="46" spans="1:3" x14ac:dyDescent="0.3">
      <c r="A46" s="20">
        <v>44915</v>
      </c>
      <c r="B46">
        <v>646.65</v>
      </c>
      <c r="C46">
        <v>1</v>
      </c>
    </row>
    <row r="47" spans="1:3" x14ac:dyDescent="0.3">
      <c r="A47" s="20">
        <v>44916</v>
      </c>
      <c r="B47">
        <v>677.44</v>
      </c>
      <c r="C47">
        <v>1</v>
      </c>
    </row>
    <row r="48" spans="1:3" x14ac:dyDescent="0.3">
      <c r="A48" s="20">
        <v>44917</v>
      </c>
      <c r="B48">
        <v>677.44</v>
      </c>
      <c r="C48">
        <v>1</v>
      </c>
    </row>
    <row r="49" spans="1:3" x14ac:dyDescent="0.3">
      <c r="A49" s="20">
        <v>44918</v>
      </c>
      <c r="B49">
        <v>646.65</v>
      </c>
      <c r="C49">
        <v>1</v>
      </c>
    </row>
    <row r="50" spans="1:3" x14ac:dyDescent="0.3">
      <c r="A50" s="20">
        <v>44919</v>
      </c>
      <c r="B50">
        <v>677.44</v>
      </c>
      <c r="C50">
        <v>1</v>
      </c>
    </row>
    <row r="51" spans="1:3" x14ac:dyDescent="0.3">
      <c r="A51" s="20">
        <v>44920</v>
      </c>
      <c r="B51">
        <v>677.44</v>
      </c>
      <c r="C51">
        <v>1</v>
      </c>
    </row>
    <row r="52" spans="1:3" x14ac:dyDescent="0.3">
      <c r="A52" s="20">
        <v>44921</v>
      </c>
      <c r="B52">
        <v>692.84</v>
      </c>
      <c r="C52">
        <v>1</v>
      </c>
    </row>
    <row r="53" spans="1:3" x14ac:dyDescent="0.3">
      <c r="A53" s="20">
        <v>44922</v>
      </c>
      <c r="B53">
        <v>692.84</v>
      </c>
      <c r="C53">
        <v>1</v>
      </c>
    </row>
    <row r="54" spans="1:3" x14ac:dyDescent="0.3">
      <c r="A54" s="20">
        <v>44923</v>
      </c>
      <c r="B54">
        <v>723.63</v>
      </c>
      <c r="C54">
        <v>1</v>
      </c>
    </row>
    <row r="55" spans="1:3" x14ac:dyDescent="0.3">
      <c r="A55" s="20">
        <v>44924</v>
      </c>
      <c r="B55">
        <v>754.43</v>
      </c>
      <c r="C55">
        <v>1</v>
      </c>
    </row>
    <row r="56" spans="1:3" x14ac:dyDescent="0.3">
      <c r="A56" s="19" t="s">
        <v>50</v>
      </c>
      <c r="B56">
        <v>558.12134615384605</v>
      </c>
      <c r="C56">
        <v>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dashboard</vt:lpstr>
      <vt:lpstr>Sheet2</vt:lpstr>
      <vt:lpstr>Sheet3</vt:lpstr>
      <vt:lpstr>Sheet10</vt:lpstr>
      <vt:lpstr>9. Sales-Data-Analysis</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Anjali Naik</dc:creator>
  <cp:lastModifiedBy>Anjali Naik</cp:lastModifiedBy>
  <dcterms:created xsi:type="dcterms:W3CDTF">2025-09-10T22:44:18Z</dcterms:created>
  <dcterms:modified xsi:type="dcterms:W3CDTF">2026-04-19T00:21:41Z</dcterms:modified>
</cp:coreProperties>
</file>